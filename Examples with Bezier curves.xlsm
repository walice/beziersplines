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/>
  </bookViews>
  <sheets>
    <sheet name="Bezier interpolation" sheetId="1" r:id="rId1"/>
    <sheet name="Optional argument" sheetId="4" r:id="rId2"/>
    <sheet name="Linear interpolation" sheetId="3" r:id="rId3"/>
    <sheet name="Testing" sheetId="2" r:id="rId4"/>
  </sheets>
  <functionGroups builtInGroupCount="17"/>
  <definedNames>
    <definedName name="BookmarkBack">Testing!$A$3</definedName>
    <definedName name="BookmarkCircle">Testing!$AU$3</definedName>
    <definedName name="BookmarkCosX">Testing!$AM$3</definedName>
    <definedName name="BookmarkExpX">Testing!$AE$3</definedName>
    <definedName name="BookmarkLogX">Testing!$O$3</definedName>
    <definedName name="BookmarkX3">Testing!$W$3</definedName>
    <definedName name="KnownXs">'Bezier interpolation'!$B$7:$B$11</definedName>
    <definedName name="KnownYs">'Bezier interpolation'!$D$7:$D$11</definedName>
  </definedNames>
  <calcPr calcId="145621"/>
</workbook>
</file>

<file path=xl/calcChain.xml><?xml version="1.0" encoding="utf-8"?>
<calcChain xmlns="http://schemas.openxmlformats.org/spreadsheetml/2006/main">
  <c r="E13" i="3" l="1"/>
  <c r="D18" i="4"/>
  <c r="D15" i="4"/>
  <c r="D19" i="4"/>
  <c r="D16" i="4"/>
  <c r="D17" i="4"/>
  <c r="D14" i="4"/>
  <c r="D11" i="4"/>
  <c r="D8" i="4"/>
  <c r="D12" i="4"/>
  <c r="D9" i="4"/>
  <c r="D13" i="4"/>
  <c r="D10" i="4"/>
  <c r="D7" i="4"/>
  <c r="F9" i="1"/>
  <c r="F13" i="1"/>
  <c r="F17" i="1"/>
  <c r="F10" i="1"/>
  <c r="F14" i="1"/>
  <c r="F11" i="1"/>
  <c r="F15" i="1"/>
  <c r="F8" i="1"/>
  <c r="F12" i="1"/>
  <c r="F16" i="1"/>
  <c r="F7" i="1"/>
  <c r="F12" i="3"/>
  <c r="F13" i="3"/>
  <c r="F9" i="3"/>
  <c r="F10" i="3"/>
  <c r="F8" i="3"/>
  <c r="F11" i="3"/>
  <c r="F7" i="3"/>
  <c r="E7" i="3" l="1"/>
  <c r="AP24" i="2" l="1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Q26" i="2" l="1"/>
  <c r="AQ24" i="2"/>
  <c r="AQ33" i="2"/>
  <c r="AQ29" i="2"/>
  <c r="AQ32" i="2"/>
  <c r="AQ28" i="2"/>
  <c r="AQ25" i="2"/>
  <c r="AQ31" i="2"/>
  <c r="AQ27" i="2"/>
  <c r="AQ34" i="2"/>
  <c r="AQ30" i="2"/>
  <c r="B13" i="4"/>
  <c r="B12" i="4"/>
  <c r="B11" i="4"/>
  <c r="B10" i="4"/>
  <c r="B9" i="4"/>
  <c r="B8" i="4"/>
  <c r="B7" i="4"/>
  <c r="AI40" i="2"/>
  <c r="AH25" i="2"/>
  <c r="AH26" i="2"/>
  <c r="AH27" i="2"/>
  <c r="AH28" i="2"/>
  <c r="AH29" i="2"/>
  <c r="AH30" i="2"/>
  <c r="AH31" i="2"/>
  <c r="AH32" i="2"/>
  <c r="AH33" i="2"/>
  <c r="AH34" i="2"/>
  <c r="AH35" i="2"/>
  <c r="AH36" i="2"/>
  <c r="AH37" i="2"/>
  <c r="AH38" i="2"/>
  <c r="AH39" i="2"/>
  <c r="AH40" i="2"/>
  <c r="AH41" i="2"/>
  <c r="AH42" i="2"/>
  <c r="AH43" i="2"/>
  <c r="AH24" i="2"/>
  <c r="AI43" i="2"/>
  <c r="AI42" i="2"/>
  <c r="AI41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24" i="2"/>
  <c r="AA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24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24" i="2"/>
  <c r="AR27" i="2"/>
  <c r="AR25" i="2"/>
  <c r="AR24" i="2"/>
  <c r="AJ29" i="2"/>
  <c r="AJ41" i="2"/>
  <c r="AJ35" i="2"/>
  <c r="AJ38" i="2"/>
  <c r="AJ24" i="2"/>
  <c r="AB39" i="2"/>
  <c r="AB41" i="2"/>
  <c r="AB32" i="2"/>
  <c r="AB37" i="2"/>
  <c r="AB24" i="2"/>
  <c r="T39" i="2"/>
  <c r="T26" i="2"/>
  <c r="T36" i="2"/>
  <c r="T37" i="2"/>
  <c r="T24" i="2"/>
  <c r="L39" i="2"/>
  <c r="L30" i="2"/>
  <c r="L36" i="2"/>
  <c r="L41" i="2"/>
  <c r="L24" i="2"/>
  <c r="D38" i="2"/>
  <c r="D40" i="2"/>
  <c r="D27" i="2"/>
  <c r="D43" i="2"/>
  <c r="D24" i="2"/>
  <c r="D32" i="2"/>
  <c r="AR32" i="2"/>
  <c r="AJ33" i="2"/>
  <c r="AJ32" i="2"/>
  <c r="AJ43" i="2"/>
  <c r="AB33" i="2"/>
  <c r="AB29" i="2"/>
  <c r="T41" i="2"/>
  <c r="T33" i="2"/>
  <c r="L37" i="2"/>
  <c r="L42" i="2"/>
  <c r="D36" i="2"/>
  <c r="D39" i="2"/>
  <c r="AR28" i="2"/>
  <c r="AR30" i="2"/>
  <c r="AJ42" i="2"/>
  <c r="AJ25" i="2"/>
  <c r="AJ28" i="2"/>
  <c r="AJ31" i="2"/>
  <c r="AJ34" i="2"/>
  <c r="AB27" i="2"/>
  <c r="AB43" i="2"/>
  <c r="AB30" i="2"/>
  <c r="AB36" i="2"/>
  <c r="AB26" i="2"/>
  <c r="T27" i="2"/>
  <c r="T43" i="2"/>
  <c r="T38" i="2"/>
  <c r="T40" i="2"/>
  <c r="T30" i="2"/>
  <c r="L27" i="2"/>
  <c r="L43" i="2"/>
  <c r="L38" i="2"/>
  <c r="L40" i="2"/>
  <c r="L26" i="2"/>
  <c r="D26" i="2"/>
  <c r="D42" i="2"/>
  <c r="D25" i="2"/>
  <c r="D31" i="2"/>
  <c r="AR31" i="2"/>
  <c r="AJ26" i="2"/>
  <c r="AB42" i="2"/>
  <c r="T42" i="2"/>
  <c r="L32" i="2"/>
  <c r="D34" i="2"/>
  <c r="AR26" i="2"/>
  <c r="AR34" i="2"/>
  <c r="AR29" i="2"/>
  <c r="AJ37" i="2"/>
  <c r="AJ36" i="2"/>
  <c r="AJ40" i="2"/>
  <c r="AJ27" i="2"/>
  <c r="AJ30" i="2"/>
  <c r="AB31" i="2"/>
  <c r="AB25" i="2"/>
  <c r="AB38" i="2"/>
  <c r="AB40" i="2"/>
  <c r="AB34" i="2"/>
  <c r="T31" i="2"/>
  <c r="T29" i="2"/>
  <c r="T28" i="2"/>
  <c r="T25" i="2"/>
  <c r="T34" i="2"/>
  <c r="L31" i="2"/>
  <c r="L29" i="2"/>
  <c r="L28" i="2"/>
  <c r="L25" i="2"/>
  <c r="L34" i="2"/>
  <c r="D30" i="2"/>
  <c r="D28" i="2"/>
  <c r="D33" i="2"/>
  <c r="D35" i="2"/>
  <c r="D29" i="2"/>
  <c r="AR33" i="2"/>
  <c r="AJ39" i="2"/>
  <c r="AB35" i="2"/>
  <c r="AB28" i="2"/>
  <c r="T35" i="2"/>
  <c r="T32" i="2"/>
  <c r="L35" i="2"/>
  <c r="L33" i="2"/>
  <c r="D41" i="2"/>
  <c r="D37" i="2"/>
  <c r="AS28" i="2" l="1"/>
  <c r="AU28" i="2" s="1"/>
  <c r="AK27" i="2"/>
  <c r="AM27" i="2" s="1"/>
  <c r="AK31" i="2"/>
  <c r="AL31" i="2" s="1"/>
  <c r="AK35" i="2"/>
  <c r="AL35" i="2" s="1"/>
  <c r="AK39" i="2"/>
  <c r="AM39" i="2" s="1"/>
  <c r="AK40" i="2"/>
  <c r="AM40" i="2" s="1"/>
  <c r="AK28" i="2"/>
  <c r="AL28" i="2" s="1"/>
  <c r="AK32" i="2"/>
  <c r="AL32" i="2" s="1"/>
  <c r="AK36" i="2"/>
  <c r="AM36" i="2" s="1"/>
  <c r="AK41" i="2"/>
  <c r="AL41" i="2" s="1"/>
  <c r="AK25" i="2"/>
  <c r="AL25" i="2" s="1"/>
  <c r="AK29" i="2"/>
  <c r="AL29" i="2" s="1"/>
  <c r="AK33" i="2"/>
  <c r="AK37" i="2"/>
  <c r="AM37" i="2" s="1"/>
  <c r="AK42" i="2"/>
  <c r="AM42" i="2" s="1"/>
  <c r="AK26" i="2"/>
  <c r="AM26" i="2" s="1"/>
  <c r="AK30" i="2"/>
  <c r="AM30" i="2" s="1"/>
  <c r="AK34" i="2"/>
  <c r="AL34" i="2" s="1"/>
  <c r="AK38" i="2"/>
  <c r="AM38" i="2" s="1"/>
  <c r="AK43" i="2"/>
  <c r="AL43" i="2" s="1"/>
  <c r="AK24" i="2"/>
  <c r="AM24" i="2" s="1"/>
  <c r="AC41" i="2"/>
  <c r="AE41" i="2" s="1"/>
  <c r="AC37" i="2"/>
  <c r="AE37" i="2" s="1"/>
  <c r="AC29" i="2"/>
  <c r="AE29" i="2" s="1"/>
  <c r="AC25" i="2"/>
  <c r="AD25" i="2" s="1"/>
  <c r="AC36" i="2"/>
  <c r="AE36" i="2" s="1"/>
  <c r="AC32" i="2"/>
  <c r="AD32" i="2" s="1"/>
  <c r="AC43" i="2"/>
  <c r="AD43" i="2" s="1"/>
  <c r="AC35" i="2"/>
  <c r="AE35" i="2" s="1"/>
  <c r="AC31" i="2"/>
  <c r="AE31" i="2" s="1"/>
  <c r="AC27" i="2"/>
  <c r="AD27" i="2" s="1"/>
  <c r="AC42" i="2"/>
  <c r="AE42" i="2" s="1"/>
  <c r="AC38" i="2"/>
  <c r="AE38" i="2" s="1"/>
  <c r="AC34" i="2"/>
  <c r="AD34" i="2" s="1"/>
  <c r="AC30" i="2"/>
  <c r="AE30" i="2" s="1"/>
  <c r="AC26" i="2"/>
  <c r="AD26" i="2" s="1"/>
  <c r="AC33" i="2"/>
  <c r="AD33" i="2" s="1"/>
  <c r="AC40" i="2"/>
  <c r="AE40" i="2" s="1"/>
  <c r="AC28" i="2"/>
  <c r="AE28" i="2" s="1"/>
  <c r="AC39" i="2"/>
  <c r="AD39" i="2" s="1"/>
  <c r="AC24" i="2"/>
  <c r="AD24" i="2" s="1"/>
  <c r="U40" i="2"/>
  <c r="W40" i="2" s="1"/>
  <c r="U36" i="2"/>
  <c r="W36" i="2" s="1"/>
  <c r="U32" i="2"/>
  <c r="W32" i="2" s="1"/>
  <c r="U28" i="2"/>
  <c r="W28" i="2" s="1"/>
  <c r="U43" i="2"/>
  <c r="W43" i="2" s="1"/>
  <c r="U39" i="2"/>
  <c r="V39" i="2" s="1"/>
  <c r="U35" i="2"/>
  <c r="W35" i="2" s="1"/>
  <c r="U31" i="2"/>
  <c r="W31" i="2" s="1"/>
  <c r="U27" i="2"/>
  <c r="V27" i="2" s="1"/>
  <c r="U42" i="2"/>
  <c r="W42" i="2" s="1"/>
  <c r="U38" i="2"/>
  <c r="W38" i="2" s="1"/>
  <c r="U34" i="2"/>
  <c r="V34" i="2" s="1"/>
  <c r="U30" i="2"/>
  <c r="W30" i="2" s="1"/>
  <c r="U26" i="2"/>
  <c r="W26" i="2" s="1"/>
  <c r="U41" i="2"/>
  <c r="W41" i="2" s="1"/>
  <c r="U37" i="2"/>
  <c r="W37" i="2" s="1"/>
  <c r="U33" i="2"/>
  <c r="W33" i="2" s="1"/>
  <c r="U29" i="2"/>
  <c r="W29" i="2" s="1"/>
  <c r="U25" i="2"/>
  <c r="W25" i="2" s="1"/>
  <c r="U24" i="2"/>
  <c r="W24" i="2" s="1"/>
  <c r="M41" i="2"/>
  <c r="O41" i="2" s="1"/>
  <c r="M37" i="2"/>
  <c r="N37" i="2" s="1"/>
  <c r="M29" i="2"/>
  <c r="N29" i="2" s="1"/>
  <c r="M25" i="2"/>
  <c r="N25" i="2" s="1"/>
  <c r="M40" i="2"/>
  <c r="N40" i="2" s="1"/>
  <c r="M32" i="2"/>
  <c r="O32" i="2" s="1"/>
  <c r="M43" i="2"/>
  <c r="O43" i="2" s="1"/>
  <c r="M42" i="2"/>
  <c r="N42" i="2" s="1"/>
  <c r="M38" i="2"/>
  <c r="O38" i="2" s="1"/>
  <c r="M34" i="2"/>
  <c r="N34" i="2" s="1"/>
  <c r="M30" i="2"/>
  <c r="O30" i="2" s="1"/>
  <c r="M26" i="2"/>
  <c r="O26" i="2" s="1"/>
  <c r="M33" i="2"/>
  <c r="O33" i="2" s="1"/>
  <c r="M36" i="2"/>
  <c r="O36" i="2" s="1"/>
  <c r="M28" i="2"/>
  <c r="O28" i="2" s="1"/>
  <c r="M39" i="2"/>
  <c r="O39" i="2" s="1"/>
  <c r="M35" i="2"/>
  <c r="O35" i="2" s="1"/>
  <c r="M31" i="2"/>
  <c r="O31" i="2" s="1"/>
  <c r="M27" i="2"/>
  <c r="O27" i="2" s="1"/>
  <c r="M24" i="2"/>
  <c r="O24" i="2" s="1"/>
  <c r="E40" i="2"/>
  <c r="G40" i="2" s="1"/>
  <c r="E36" i="2"/>
  <c r="G36" i="2" s="1"/>
  <c r="E28" i="2"/>
  <c r="F28" i="2" s="1"/>
  <c r="E43" i="2"/>
  <c r="F43" i="2" s="1"/>
  <c r="E39" i="2"/>
  <c r="E31" i="2"/>
  <c r="G31" i="2" s="1"/>
  <c r="E42" i="2"/>
  <c r="F42" i="2" s="1"/>
  <c r="E41" i="2"/>
  <c r="G41" i="2" s="1"/>
  <c r="E37" i="2"/>
  <c r="F37" i="2" s="1"/>
  <c r="E33" i="2"/>
  <c r="F33" i="2" s="1"/>
  <c r="E29" i="2"/>
  <c r="F29" i="2" s="1"/>
  <c r="E25" i="2"/>
  <c r="F25" i="2" s="1"/>
  <c r="E32" i="2"/>
  <c r="E35" i="2"/>
  <c r="G35" i="2" s="1"/>
  <c r="E27" i="2"/>
  <c r="F27" i="2" s="1"/>
  <c r="E38" i="2"/>
  <c r="F38" i="2" s="1"/>
  <c r="E34" i="2"/>
  <c r="G34" i="2" s="1"/>
  <c r="E30" i="2"/>
  <c r="G30" i="2" s="1"/>
  <c r="E26" i="2"/>
  <c r="F26" i="2" s="1"/>
  <c r="E24" i="2"/>
  <c r="F24" i="2" s="1"/>
  <c r="AS31" i="2"/>
  <c r="AT31" i="2" s="1"/>
  <c r="AS25" i="2"/>
  <c r="AU25" i="2" s="1"/>
  <c r="AS34" i="2"/>
  <c r="AT34" i="2" s="1"/>
  <c r="AS24" i="2"/>
  <c r="AU24" i="2" s="1"/>
  <c r="AS29" i="2"/>
  <c r="AU29" i="2" s="1"/>
  <c r="AS30" i="2"/>
  <c r="AT30" i="2" s="1"/>
  <c r="AS33" i="2"/>
  <c r="AU33" i="2" s="1"/>
  <c r="AS27" i="2"/>
  <c r="AU27" i="2" s="1"/>
  <c r="AS32" i="2"/>
  <c r="AT32" i="2" s="1"/>
  <c r="AS26" i="2"/>
  <c r="AT26" i="2" s="1"/>
  <c r="AQ38" i="2"/>
  <c r="AQ42" i="2"/>
  <c r="AQ40" i="2"/>
  <c r="AQ41" i="2"/>
  <c r="AQ35" i="2"/>
  <c r="AQ39" i="2"/>
  <c r="AQ43" i="2"/>
  <c r="AQ36" i="2"/>
  <c r="AQ44" i="2"/>
  <c r="AQ37" i="2"/>
  <c r="AQ45" i="2"/>
  <c r="AR37" i="2"/>
  <c r="AR43" i="2"/>
  <c r="AR35" i="2"/>
  <c r="AR45" i="2"/>
  <c r="AR41" i="2"/>
  <c r="AR36" i="2"/>
  <c r="AR38" i="2"/>
  <c r="AR40" i="2"/>
  <c r="AR42" i="2"/>
  <c r="AR39" i="2"/>
  <c r="AR44" i="2"/>
  <c r="AM34" i="2" l="1"/>
  <c r="AL30" i="2"/>
  <c r="AT28" i="2"/>
  <c r="AE25" i="2"/>
  <c r="AL36" i="2"/>
  <c r="AD36" i="2"/>
  <c r="AL40" i="2"/>
  <c r="N35" i="2"/>
  <c r="AM41" i="2"/>
  <c r="AL37" i="2"/>
  <c r="AE26" i="2"/>
  <c r="AM31" i="2"/>
  <c r="AL27" i="2"/>
  <c r="AD37" i="2"/>
  <c r="AE32" i="2"/>
  <c r="AL38" i="2"/>
  <c r="O34" i="2"/>
  <c r="AL42" i="2"/>
  <c r="AE24" i="2"/>
  <c r="AL39" i="2"/>
  <c r="W34" i="2"/>
  <c r="AE33" i="2"/>
  <c r="AL26" i="2"/>
  <c r="G43" i="2"/>
  <c r="V31" i="2"/>
  <c r="AE27" i="2"/>
  <c r="AD30" i="2"/>
  <c r="V41" i="2"/>
  <c r="V42" i="2"/>
  <c r="AE43" i="2"/>
  <c r="AD28" i="2"/>
  <c r="AD29" i="2"/>
  <c r="AM32" i="2"/>
  <c r="AM28" i="2"/>
  <c r="AM43" i="2"/>
  <c r="AM35" i="2"/>
  <c r="AM29" i="2"/>
  <c r="AM25" i="2"/>
  <c r="W39" i="2"/>
  <c r="AD42" i="2"/>
  <c r="AE39" i="2"/>
  <c r="F40" i="2"/>
  <c r="W27" i="2"/>
  <c r="AD31" i="2"/>
  <c r="O40" i="2"/>
  <c r="V43" i="2"/>
  <c r="AD40" i="2"/>
  <c r="AE34" i="2"/>
  <c r="AD41" i="2"/>
  <c r="AL24" i="2"/>
  <c r="N33" i="2"/>
  <c r="G37" i="2"/>
  <c r="V33" i="2"/>
  <c r="G24" i="2"/>
  <c r="N24" i="2"/>
  <c r="AD38" i="2"/>
  <c r="AD35" i="2"/>
  <c r="G28" i="2"/>
  <c r="V28" i="2"/>
  <c r="V37" i="2"/>
  <c r="V38" i="2"/>
  <c r="V35" i="2"/>
  <c r="N38" i="2"/>
  <c r="N41" i="2"/>
  <c r="V29" i="2"/>
  <c r="V40" i="2"/>
  <c r="V30" i="2"/>
  <c r="V26" i="2"/>
  <c r="N30" i="2"/>
  <c r="N31" i="2"/>
  <c r="V25" i="2"/>
  <c r="V36" i="2"/>
  <c r="V32" i="2"/>
  <c r="N43" i="2"/>
  <c r="N39" i="2"/>
  <c r="V24" i="2"/>
  <c r="G25" i="2"/>
  <c r="F41" i="2"/>
  <c r="O42" i="2"/>
  <c r="N26" i="2"/>
  <c r="O25" i="2"/>
  <c r="G38" i="2"/>
  <c r="N27" i="2"/>
  <c r="N36" i="2"/>
  <c r="N32" i="2"/>
  <c r="G27" i="2"/>
  <c r="F31" i="2"/>
  <c r="N28" i="2"/>
  <c r="O37" i="2"/>
  <c r="O29" i="2"/>
  <c r="F35" i="2"/>
  <c r="G33" i="2"/>
  <c r="F34" i="2"/>
  <c r="F36" i="2"/>
  <c r="G29" i="2"/>
  <c r="G26" i="2"/>
  <c r="G42" i="2"/>
  <c r="F30" i="2"/>
  <c r="F39" i="2"/>
  <c r="G39" i="2"/>
  <c r="F32" i="2"/>
  <c r="G32" i="2"/>
  <c r="AL33" i="2"/>
  <c r="AM33" i="2"/>
  <c r="AS35" i="2"/>
  <c r="AT35" i="2" s="1"/>
  <c r="AS41" i="2"/>
  <c r="AU41" i="2" s="1"/>
  <c r="AS45" i="2"/>
  <c r="AU45" i="2" s="1"/>
  <c r="AS43" i="2"/>
  <c r="AT43" i="2" s="1"/>
  <c r="AS40" i="2"/>
  <c r="AU40" i="2" s="1"/>
  <c r="AS44" i="2"/>
  <c r="AT44" i="2" s="1"/>
  <c r="AS38" i="2"/>
  <c r="AT38" i="2" s="1"/>
  <c r="AS36" i="2"/>
  <c r="AU36" i="2" s="1"/>
  <c r="AS37" i="2"/>
  <c r="AU37" i="2" s="1"/>
  <c r="AS39" i="2"/>
  <c r="AU39" i="2" s="1"/>
  <c r="AS42" i="2"/>
  <c r="AU42" i="2" s="1"/>
  <c r="AU31" i="2"/>
  <c r="AT27" i="2"/>
  <c r="AT24" i="2"/>
  <c r="AT25" i="2"/>
  <c r="AT29" i="2"/>
  <c r="AU32" i="2"/>
  <c r="AU26" i="2"/>
  <c r="AU34" i="2"/>
  <c r="AU30" i="2"/>
  <c r="AT33" i="2"/>
  <c r="AU43" i="2" l="1"/>
  <c r="AT45" i="2"/>
  <c r="AT41" i="2"/>
  <c r="AT36" i="2"/>
  <c r="AT42" i="2"/>
  <c r="AT39" i="2"/>
  <c r="AT37" i="2"/>
  <c r="AU44" i="2"/>
  <c r="AU38" i="2"/>
  <c r="AT40" i="2"/>
  <c r="AU35" i="2"/>
</calcChain>
</file>

<file path=xl/sharedStrings.xml><?xml version="1.0" encoding="utf-8"?>
<sst xmlns="http://schemas.openxmlformats.org/spreadsheetml/2006/main" count="77" uniqueCount="27">
  <si>
    <t>Known X values</t>
  </si>
  <si>
    <t>Known Y values</t>
  </si>
  <si>
    <t>Interpolated Y</t>
  </si>
  <si>
    <t>X</t>
  </si>
  <si>
    <t>Value of 1/X</t>
  </si>
  <si>
    <t>2nd decimal</t>
  </si>
  <si>
    <t>3rd decimal</t>
  </si>
  <si>
    <t>Accuracy</t>
  </si>
  <si>
    <t>Value of Log(X)</t>
  </si>
  <si>
    <r>
      <t>Value of X</t>
    </r>
    <r>
      <rPr>
        <b/>
        <vertAlign val="superscript"/>
        <sz val="11"/>
        <color theme="1"/>
        <rFont val="Calibri"/>
        <family val="2"/>
        <scheme val="minor"/>
      </rPr>
      <t>3</t>
    </r>
  </si>
  <si>
    <r>
      <t>Value of Exp</t>
    </r>
    <r>
      <rPr>
        <b/>
        <vertAlign val="superscript"/>
        <sz val="11"/>
        <color theme="1"/>
        <rFont val="Calibri"/>
        <family val="2"/>
        <scheme val="minor"/>
      </rPr>
      <t>X</t>
    </r>
  </si>
  <si>
    <t>Value of Cos X</t>
  </si>
  <si>
    <t>Note: if you have a functional form, you don't need to interpolate! This is just to check the accuracy of the Bézier curves (and by extension Excel's smoothing algorithm) against the true result.</t>
  </si>
  <si>
    <t>Back</t>
  </si>
  <si>
    <t>Log X</t>
  </si>
  <si>
    <r>
      <t>X</t>
    </r>
    <r>
      <rPr>
        <u/>
        <vertAlign val="superscript"/>
        <sz val="11"/>
        <color theme="10"/>
        <rFont val="Calibri"/>
        <family val="2"/>
        <scheme val="minor"/>
      </rPr>
      <t>3</t>
    </r>
  </si>
  <si>
    <r>
      <t>Exp</t>
    </r>
    <r>
      <rPr>
        <u/>
        <vertAlign val="superscript"/>
        <sz val="11"/>
        <color theme="10"/>
        <rFont val="Calibri"/>
        <family val="2"/>
        <scheme val="minor"/>
      </rPr>
      <t>X</t>
    </r>
  </si>
  <si>
    <t>Cos X</t>
  </si>
  <si>
    <t>Extrapolated Y</t>
  </si>
  <si>
    <t>Optional argument: type 1 for extrapolation</t>
  </si>
  <si>
    <t>Interpolation using Bézier curves</t>
  </si>
  <si>
    <t>Click to scroll to:</t>
  </si>
  <si>
    <t>Piecewise linear interpolation with data in rows or columns. Data outside the X values are extrapolated automatically.</t>
  </si>
  <si>
    <t>scroll</t>
  </si>
  <si>
    <t>Testing</t>
  </si>
  <si>
    <r>
      <t>Y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= r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- X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</si>
  <si>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Y</t>
    </r>
    <r>
      <rPr>
        <u/>
        <vertAlign val="superscript"/>
        <sz val="11"/>
        <color theme="10"/>
        <rFont val="Calibri"/>
        <family val="2"/>
        <scheme val="minor"/>
      </rPr>
      <t>2</t>
    </r>
    <r>
      <rPr>
        <u/>
        <sz val="11"/>
        <color theme="10"/>
        <rFont val="Calibri"/>
        <family val="2"/>
        <scheme val="minor"/>
      </rPr>
      <t xml:space="preserve"> = r</t>
    </r>
    <r>
      <rPr>
        <u/>
        <vertAlign val="superscript"/>
        <sz val="11"/>
        <color theme="10"/>
        <rFont val="Calibri"/>
        <family val="2"/>
        <scheme val="minor"/>
      </rPr>
      <t>2</t>
    </r>
    <r>
      <rPr>
        <u/>
        <sz val="11"/>
        <color theme="10"/>
        <rFont val="Calibri"/>
        <family val="2"/>
        <scheme val="minor"/>
      </rPr>
      <t xml:space="preserve"> - X</t>
    </r>
    <r>
      <rPr>
        <u/>
        <vertAlign val="superscript"/>
        <sz val="11"/>
        <color theme="10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</si>
</sst>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vertAlign val="superscript"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BB3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8112D"/>
        <bgColor indexed="64"/>
      </patternFill>
    </fill>
    <fill>
      <patternFill patternType="solid">
        <fgColor rgb="FF006B77"/>
        <bgColor indexed="64"/>
      </patternFill>
    </fill>
    <fill>
      <patternFill patternType="solid">
        <fgColor rgb="FFD6DDD6"/>
        <bgColor indexed="64"/>
      </patternFill>
    </fill>
    <fill>
      <patternFill patternType="solid">
        <fgColor rgb="FFD6CEA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2">
    <xf numFmtId="0" fontId="0" fillId="0" borderId="0" xfId="0"/>
    <xf numFmtId="0" fontId="0" fillId="3" borderId="0" xfId="0" applyFill="1"/>
    <xf numFmtId="0" fontId="0" fillId="3" borderId="0" xfId="0" applyFont="1" applyFill="1"/>
    <xf numFmtId="0" fontId="0" fillId="3" borderId="0" xfId="0" applyFill="1" applyBorder="1"/>
    <xf numFmtId="0" fontId="3" fillId="5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1" fillId="3" borderId="0" xfId="0" applyFont="1" applyFill="1" applyBorder="1"/>
    <xf numFmtId="0" fontId="3" fillId="3" borderId="0" xfId="0" applyFont="1" applyFill="1" applyBorder="1"/>
    <xf numFmtId="0" fontId="0" fillId="3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6" fillId="3" borderId="0" xfId="1" applyFill="1"/>
    <xf numFmtId="0" fontId="4" fillId="3" borderId="0" xfId="0" applyFont="1" applyFill="1" applyBorder="1"/>
    <xf numFmtId="0" fontId="1" fillId="5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0" fillId="3" borderId="0" xfId="0" applyFont="1" applyFill="1" applyAlignment="1">
      <alignment vertical="center"/>
    </xf>
    <xf numFmtId="0" fontId="0" fillId="3" borderId="0" xfId="0" applyFont="1" applyFill="1" applyBorder="1"/>
    <xf numFmtId="0" fontId="1" fillId="3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6" fillId="3" borderId="0" xfId="1" applyFill="1" applyAlignment="1">
      <alignment horizontal="center" vertical="center"/>
    </xf>
    <xf numFmtId="0" fontId="0" fillId="7" borderId="0" xfId="0" applyFill="1"/>
    <xf numFmtId="0" fontId="0" fillId="3" borderId="0" xfId="0" applyFont="1" applyFill="1" applyBorder="1" applyAlignment="1">
      <alignment horizontal="center"/>
    </xf>
    <xf numFmtId="0" fontId="0" fillId="7" borderId="0" xfId="0" applyFill="1" applyBorder="1"/>
    <xf numFmtId="0" fontId="3" fillId="3" borderId="0" xfId="0" applyFont="1" applyFill="1"/>
    <xf numFmtId="0" fontId="4" fillId="7" borderId="0" xfId="0" applyFont="1" applyFill="1" applyBorder="1" applyAlignment="1"/>
    <xf numFmtId="0" fontId="4" fillId="7" borderId="0" xfId="0" applyFont="1" applyFill="1" applyAlignment="1"/>
    <xf numFmtId="0" fontId="0" fillId="3" borderId="0" xfId="0" applyFont="1" applyFill="1" applyAlignment="1"/>
    <xf numFmtId="0" fontId="1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B77"/>
      <color rgb="FFE8112D"/>
      <color rgb="FFD6CEA3"/>
      <color rgb="FFD6DDD6"/>
      <color rgb="FFFFBB36"/>
      <color rgb="FFFCBF4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'Bezier interpolation'!$B$7:$B$11</c:f>
              <c:numCache>
                <c:formatCode>General</c:formatCode>
                <c:ptCount val="5"/>
                <c:pt idx="0">
                  <c:v>3</c:v>
                </c:pt>
                <c:pt idx="1">
                  <c:v>7</c:v>
                </c:pt>
                <c:pt idx="2">
                  <c:v>10</c:v>
                </c:pt>
                <c:pt idx="3">
                  <c:v>13</c:v>
                </c:pt>
                <c:pt idx="4">
                  <c:v>21</c:v>
                </c:pt>
              </c:numCache>
            </c:numRef>
          </c:xVal>
          <c:yVal>
            <c:numRef>
              <c:f>'Bezier interpolation'!$D$7:$D$11</c:f>
              <c:numCache>
                <c:formatCode>General</c:formatCode>
                <c:ptCount val="5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774848"/>
        <c:axId val="145781120"/>
      </c:scatterChart>
      <c:scatterChart>
        <c:scatterStyle val="lineMarker"/>
        <c:varyColors val="0"/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'Bezier interpolation'!$E$7:$E$17</c:f>
              <c:numCache>
                <c:formatCode>General</c:formatCode>
                <c:ptCount val="11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19</c:v>
                </c:pt>
              </c:numCache>
            </c:numRef>
          </c:xVal>
          <c:yVal>
            <c:numRef>
              <c:f>'Bezier interpolation'!$F$7:$F$17</c:f>
              <c:numCache>
                <c:formatCode>General</c:formatCode>
                <c:ptCount val="11"/>
                <c:pt idx="0">
                  <c:v>3.5809230769230775</c:v>
                </c:pt>
                <c:pt idx="1">
                  <c:v>5.146524064171123</c:v>
                </c:pt>
                <c:pt idx="2">
                  <c:v>6.4149392265193361</c:v>
                </c:pt>
                <c:pt idx="3">
                  <c:v>5.5581909547738633</c:v>
                </c:pt>
                <c:pt idx="4">
                  <c:v>2.6353439153439178</c:v>
                </c:pt>
                <c:pt idx="5">
                  <c:v>1</c:v>
                </c:pt>
                <c:pt idx="6">
                  <c:v>6.1551079136690632</c:v>
                </c:pt>
                <c:pt idx="7">
                  <c:v>6.781510652033572</c:v>
                </c:pt>
                <c:pt idx="8">
                  <c:v>5.6948163916977128</c:v>
                </c:pt>
                <c:pt idx="9">
                  <c:v>4.2693726937269396</c:v>
                </c:pt>
                <c:pt idx="10">
                  <c:v>3.5024930128563447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774848"/>
        <c:axId val="145781120"/>
      </c:scatterChart>
      <c:valAx>
        <c:axId val="145774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781120"/>
        <c:crosses val="autoZero"/>
        <c:crossBetween val="midCat"/>
      </c:valAx>
      <c:valAx>
        <c:axId val="14578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577484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'Optional argument'!$A$7:$A$13</c:f>
              <c:numCache>
                <c:formatCode>General</c:formatCode>
                <c:ptCount val="7"/>
                <c:pt idx="0">
                  <c:v>-15</c:v>
                </c:pt>
                <c:pt idx="1">
                  <c:v>-10</c:v>
                </c:pt>
                <c:pt idx="2">
                  <c:v>-5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</c:numCache>
            </c:numRef>
          </c:xVal>
          <c:yVal>
            <c:numRef>
              <c:f>'Optional argument'!$B$7:$B$13</c:f>
              <c:numCache>
                <c:formatCode>General</c:formatCode>
                <c:ptCount val="7"/>
                <c:pt idx="0">
                  <c:v>225</c:v>
                </c:pt>
                <c:pt idx="1">
                  <c:v>100</c:v>
                </c:pt>
                <c:pt idx="2">
                  <c:v>25</c:v>
                </c:pt>
                <c:pt idx="3">
                  <c:v>0</c:v>
                </c:pt>
                <c:pt idx="4">
                  <c:v>25</c:v>
                </c:pt>
                <c:pt idx="5">
                  <c:v>100</c:v>
                </c:pt>
                <c:pt idx="6">
                  <c:v>225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98400"/>
        <c:axId val="145404672"/>
      </c:scatterChart>
      <c:scatterChart>
        <c:scatterStyle val="lineMarker"/>
        <c:varyColors val="0"/>
        <c:ser>
          <c:idx val="1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'Optional argument'!$C$14:$C$19</c:f>
              <c:numCache>
                <c:formatCode>General</c:formatCode>
                <c:ptCount val="6"/>
                <c:pt idx="0">
                  <c:v>-9</c:v>
                </c:pt>
                <c:pt idx="1">
                  <c:v>-8</c:v>
                </c:pt>
                <c:pt idx="2">
                  <c:v>-7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</c:numCache>
            </c:numRef>
          </c:xVal>
          <c:yVal>
            <c:numRef>
              <c:f>'Optional argument'!$D$14:$D$19</c:f>
              <c:numCache>
                <c:formatCode>General</c:formatCode>
                <c:ptCount val="6"/>
                <c:pt idx="0">
                  <c:v>80.999999999999986</c:v>
                </c:pt>
                <c:pt idx="1">
                  <c:v>63.999999999999993</c:v>
                </c:pt>
                <c:pt idx="2">
                  <c:v>49</c:v>
                </c:pt>
                <c:pt idx="3">
                  <c:v>49</c:v>
                </c:pt>
                <c:pt idx="4">
                  <c:v>64</c:v>
                </c:pt>
                <c:pt idx="5">
                  <c:v>81</c:v>
                </c:pt>
              </c:numCache>
            </c:numRef>
          </c:yVal>
          <c:smooth val="0"/>
        </c:ser>
        <c:ser>
          <c:idx val="3"/>
          <c:order val="2"/>
          <c:tx>
            <c:v>Extrapolated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BB36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'Optional argument'!$C$7:$C$13</c:f>
              <c:numCache>
                <c:formatCode>General</c:formatCode>
                <c:ptCount val="7"/>
                <c:pt idx="0">
                  <c:v>-30</c:v>
                </c:pt>
                <c:pt idx="1">
                  <c:v>-25</c:v>
                </c:pt>
                <c:pt idx="2">
                  <c:v>-20</c:v>
                </c:pt>
                <c:pt idx="3">
                  <c:v>0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</c:numCache>
            </c:numRef>
          </c:xVal>
          <c:yVal>
            <c:numRef>
              <c:f>'Optional argument'!$D$7:$D$13</c:f>
              <c:numCache>
                <c:formatCode>General</c:formatCode>
                <c:ptCount val="7"/>
                <c:pt idx="0">
                  <c:v>600</c:v>
                </c:pt>
                <c:pt idx="1">
                  <c:v>475</c:v>
                </c:pt>
                <c:pt idx="2">
                  <c:v>350</c:v>
                </c:pt>
                <c:pt idx="3">
                  <c:v>0</c:v>
                </c:pt>
                <c:pt idx="4">
                  <c:v>350</c:v>
                </c:pt>
                <c:pt idx="5">
                  <c:v>475</c:v>
                </c:pt>
                <c:pt idx="6">
                  <c:v>600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98400"/>
        <c:axId val="145404672"/>
      </c:scatterChart>
      <c:valAx>
        <c:axId val="14539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404672"/>
        <c:crosses val="autoZero"/>
        <c:crossBetween val="midCat"/>
      </c:valAx>
      <c:valAx>
        <c:axId val="145404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14539840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'Linear interpolation'!$B$7:$B$13</c:f>
              <c:numCache>
                <c:formatCode>General</c:formatCode>
                <c:ptCount val="7"/>
                <c:pt idx="0">
                  <c:v>4</c:v>
                </c:pt>
                <c:pt idx="1">
                  <c:v>8</c:v>
                </c:pt>
                <c:pt idx="2">
                  <c:v>10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23</c:v>
                </c:pt>
              </c:numCache>
            </c:numRef>
          </c:xVal>
          <c:yVal>
            <c:numRef>
              <c:f>'Linear interpolation'!$D$7:$D$13</c:f>
              <c:numCache>
                <c:formatCode>General</c:formatCode>
                <c:ptCount val="7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14</c:v>
                </c:pt>
                <c:pt idx="4">
                  <c:v>2</c:v>
                </c:pt>
                <c:pt idx="5">
                  <c:v>4</c:v>
                </c:pt>
                <c:pt idx="6">
                  <c:v>10</c:v>
                </c:pt>
              </c:numCache>
            </c:numRef>
          </c:yVal>
          <c:smooth val="0"/>
        </c:ser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'Linear interpolation'!$E$8:$E$12</c:f>
              <c:numCache>
                <c:formatCode>General</c:formatCode>
                <c:ptCount val="5"/>
                <c:pt idx="0">
                  <c:v>5</c:v>
                </c:pt>
                <c:pt idx="1">
                  <c:v>9</c:v>
                </c:pt>
                <c:pt idx="2">
                  <c:v>11</c:v>
                </c:pt>
                <c:pt idx="3">
                  <c:v>14</c:v>
                </c:pt>
                <c:pt idx="4">
                  <c:v>18</c:v>
                </c:pt>
              </c:numCache>
            </c:numRef>
          </c:xVal>
          <c:yVal>
            <c:numRef>
              <c:f>'Linear interpolation'!$F$8:$F$12</c:f>
              <c:numCache>
                <c:formatCode>General</c:formatCode>
                <c:ptCount val="5"/>
                <c:pt idx="0">
                  <c:v>4</c:v>
                </c:pt>
                <c:pt idx="1">
                  <c:v>7</c:v>
                </c:pt>
                <c:pt idx="2">
                  <c:v>9</c:v>
                </c:pt>
                <c:pt idx="3">
                  <c:v>8</c:v>
                </c:pt>
                <c:pt idx="4">
                  <c:v>3</c:v>
                </c:pt>
              </c:numCache>
            </c:numRef>
          </c:yVal>
          <c:smooth val="0"/>
        </c:ser>
        <c:ser>
          <c:idx val="1"/>
          <c:order val="2"/>
          <c:tx>
            <c:v>Extrapolated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BB36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('Linear interpolation'!$E$7,'Linear interpolation'!$E$13)</c:f>
              <c:numCache>
                <c:formatCode>General</c:formatCode>
                <c:ptCount val="2"/>
                <c:pt idx="0">
                  <c:v>3</c:v>
                </c:pt>
                <c:pt idx="1">
                  <c:v>24</c:v>
                </c:pt>
              </c:numCache>
            </c:numRef>
          </c:xVal>
          <c:yVal>
            <c:numRef>
              <c:f>('Linear interpolation'!$F$7,'Linear interpolation'!$F$13)</c:f>
              <c:numCache>
                <c:formatCode>General</c:formatCode>
                <c:ptCount val="2"/>
                <c:pt idx="0">
                  <c:v>0</c:v>
                </c:pt>
                <c:pt idx="1">
                  <c:v>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389632"/>
        <c:axId val="145584896"/>
      </c:scatterChart>
      <c:valAx>
        <c:axId val="14638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584896"/>
        <c:crosses val="autoZero"/>
        <c:crossBetween val="midCat"/>
      </c:valAx>
      <c:valAx>
        <c:axId val="145584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638963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Testing!$I$24:$I$43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Testing!$J$24:$J$43</c:f>
              <c:numCache>
                <c:formatCode>General</c:formatCode>
                <c:ptCount val="20"/>
                <c:pt idx="0">
                  <c:v>0.3010299956639812</c:v>
                </c:pt>
                <c:pt idx="1">
                  <c:v>0.6020599913279624</c:v>
                </c:pt>
                <c:pt idx="2">
                  <c:v>0.77815125038364363</c:v>
                </c:pt>
                <c:pt idx="3">
                  <c:v>0.90308998699194354</c:v>
                </c:pt>
                <c:pt idx="4">
                  <c:v>1</c:v>
                </c:pt>
                <c:pt idx="5">
                  <c:v>1.0791812460476249</c:v>
                </c:pt>
                <c:pt idx="6">
                  <c:v>1.146128035678238</c:v>
                </c:pt>
                <c:pt idx="7">
                  <c:v>1.2041199826559248</c:v>
                </c:pt>
                <c:pt idx="8">
                  <c:v>1.255272505103306</c:v>
                </c:pt>
                <c:pt idx="9">
                  <c:v>1.3010299956639813</c:v>
                </c:pt>
                <c:pt idx="10">
                  <c:v>1.3424226808222062</c:v>
                </c:pt>
                <c:pt idx="11">
                  <c:v>1.3802112417116059</c:v>
                </c:pt>
                <c:pt idx="12">
                  <c:v>1.414973347970818</c:v>
                </c:pt>
                <c:pt idx="13">
                  <c:v>1.4471580313422192</c:v>
                </c:pt>
                <c:pt idx="14">
                  <c:v>1.4771212547196624</c:v>
                </c:pt>
                <c:pt idx="15">
                  <c:v>1.505149978319906</c:v>
                </c:pt>
                <c:pt idx="16">
                  <c:v>1.5314789170422551</c:v>
                </c:pt>
                <c:pt idx="17">
                  <c:v>1.5563025007672873</c:v>
                </c:pt>
                <c:pt idx="18">
                  <c:v>1.5797835966168101</c:v>
                </c:pt>
                <c:pt idx="19">
                  <c:v>1.6020599913279623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87104"/>
        <c:axId val="146689024"/>
      </c:scatterChart>
      <c:scatterChart>
        <c:scatterStyle val="lineMarker"/>
        <c:varyColors val="0"/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Testing!$K$24:$K$43</c:f>
              <c:numCache>
                <c:formatCode>General</c:formatCode>
                <c:ptCount val="20"/>
                <c:pt idx="0">
                  <c:v>23</c:v>
                </c:pt>
                <c:pt idx="1">
                  <c:v>5</c:v>
                </c:pt>
                <c:pt idx="2">
                  <c:v>40</c:v>
                </c:pt>
                <c:pt idx="3">
                  <c:v>15</c:v>
                </c:pt>
                <c:pt idx="4">
                  <c:v>9</c:v>
                </c:pt>
                <c:pt idx="5">
                  <c:v>23</c:v>
                </c:pt>
                <c:pt idx="6">
                  <c:v>5</c:v>
                </c:pt>
                <c:pt idx="7">
                  <c:v>36</c:v>
                </c:pt>
                <c:pt idx="8">
                  <c:v>23</c:v>
                </c:pt>
                <c:pt idx="9">
                  <c:v>29</c:v>
                </c:pt>
                <c:pt idx="10">
                  <c:v>33</c:v>
                </c:pt>
                <c:pt idx="11">
                  <c:v>20</c:v>
                </c:pt>
                <c:pt idx="12">
                  <c:v>22</c:v>
                </c:pt>
                <c:pt idx="13">
                  <c:v>18</c:v>
                </c:pt>
                <c:pt idx="14">
                  <c:v>8</c:v>
                </c:pt>
                <c:pt idx="15">
                  <c:v>12</c:v>
                </c:pt>
                <c:pt idx="16">
                  <c:v>39</c:v>
                </c:pt>
                <c:pt idx="17">
                  <c:v>33</c:v>
                </c:pt>
                <c:pt idx="18">
                  <c:v>37</c:v>
                </c:pt>
                <c:pt idx="19">
                  <c:v>11</c:v>
                </c:pt>
              </c:numCache>
            </c:numRef>
          </c:xVal>
          <c:yVal>
            <c:numRef>
              <c:f>Testing!$L$24:$L$43</c:f>
              <c:numCache>
                <c:formatCode>General</c:formatCode>
                <c:ptCount val="20"/>
                <c:pt idx="0">
                  <c:v>1.3617313724480944</c:v>
                </c:pt>
                <c:pt idx="1">
                  <c:v>0.70111132454678315</c:v>
                </c:pt>
                <c:pt idx="2">
                  <c:v>1.6020599913279623</c:v>
                </c:pt>
                <c:pt idx="3">
                  <c:v>1.1761111508660334</c:v>
                </c:pt>
                <c:pt idx="4">
                  <c:v>0.95440483665601394</c:v>
                </c:pt>
                <c:pt idx="5">
                  <c:v>1.3617313724480944</c:v>
                </c:pt>
                <c:pt idx="6">
                  <c:v>0.70111132454678315</c:v>
                </c:pt>
                <c:pt idx="7">
                  <c:v>1.5563025007672873</c:v>
                </c:pt>
                <c:pt idx="8">
                  <c:v>1.3617313724480944</c:v>
                </c:pt>
                <c:pt idx="9">
                  <c:v>1.4623993905166381</c:v>
                </c:pt>
                <c:pt idx="10">
                  <c:v>1.5185147689232814</c:v>
                </c:pt>
                <c:pt idx="11">
                  <c:v>1.3010299956639813</c:v>
                </c:pt>
                <c:pt idx="12">
                  <c:v>1.3424226808222062</c:v>
                </c:pt>
                <c:pt idx="13">
                  <c:v>1.255272505103306</c:v>
                </c:pt>
                <c:pt idx="14">
                  <c:v>0.90308998699194354</c:v>
                </c:pt>
                <c:pt idx="15">
                  <c:v>1.0791812460476249</c:v>
                </c:pt>
                <c:pt idx="16">
                  <c:v>1.5910033348791319</c:v>
                </c:pt>
                <c:pt idx="17">
                  <c:v>1.5185147689232814</c:v>
                </c:pt>
                <c:pt idx="18">
                  <c:v>1.5682022480054163</c:v>
                </c:pt>
                <c:pt idx="19">
                  <c:v>1.0414633244849025</c:v>
                </c:pt>
              </c:numCache>
            </c:numRef>
          </c:yVal>
          <c:smooth val="0"/>
        </c:ser>
        <c:ser>
          <c:idx val="1"/>
          <c:order val="2"/>
          <c:tx>
            <c:v>Log X</c:v>
          </c:tx>
          <c:spPr>
            <a:ln w="28575">
              <a:noFill/>
            </a:ln>
          </c:spPr>
          <c:marker>
            <c:symbol val="x"/>
            <c:size val="9"/>
            <c:spPr>
              <a:ln w="25400">
                <a:solidFill>
                  <a:srgbClr val="D6DDD6"/>
                </a:solidFill>
              </a:ln>
            </c:spPr>
          </c:marker>
          <c:xVal>
            <c:numRef>
              <c:f>Testing!$K$24:$K$43</c:f>
              <c:numCache>
                <c:formatCode>General</c:formatCode>
                <c:ptCount val="20"/>
                <c:pt idx="0">
                  <c:v>23</c:v>
                </c:pt>
                <c:pt idx="1">
                  <c:v>5</c:v>
                </c:pt>
                <c:pt idx="2">
                  <c:v>40</c:v>
                </c:pt>
                <c:pt idx="3">
                  <c:v>15</c:v>
                </c:pt>
                <c:pt idx="4">
                  <c:v>9</c:v>
                </c:pt>
                <c:pt idx="5">
                  <c:v>23</c:v>
                </c:pt>
                <c:pt idx="6">
                  <c:v>5</c:v>
                </c:pt>
                <c:pt idx="7">
                  <c:v>36</c:v>
                </c:pt>
                <c:pt idx="8">
                  <c:v>23</c:v>
                </c:pt>
                <c:pt idx="9">
                  <c:v>29</c:v>
                </c:pt>
                <c:pt idx="10">
                  <c:v>33</c:v>
                </c:pt>
                <c:pt idx="11">
                  <c:v>20</c:v>
                </c:pt>
                <c:pt idx="12">
                  <c:v>22</c:v>
                </c:pt>
                <c:pt idx="13">
                  <c:v>18</c:v>
                </c:pt>
                <c:pt idx="14">
                  <c:v>8</c:v>
                </c:pt>
                <c:pt idx="15">
                  <c:v>12</c:v>
                </c:pt>
                <c:pt idx="16">
                  <c:v>39</c:v>
                </c:pt>
                <c:pt idx="17">
                  <c:v>33</c:v>
                </c:pt>
                <c:pt idx="18">
                  <c:v>37</c:v>
                </c:pt>
                <c:pt idx="19">
                  <c:v>11</c:v>
                </c:pt>
              </c:numCache>
            </c:numRef>
          </c:xVal>
          <c:yVal>
            <c:numRef>
              <c:f>Testing!$M$24:$M$43</c:f>
              <c:numCache>
                <c:formatCode>General</c:formatCode>
                <c:ptCount val="20"/>
                <c:pt idx="0">
                  <c:v>1.3617278360175928</c:v>
                </c:pt>
                <c:pt idx="1">
                  <c:v>0.69897000433601886</c:v>
                </c:pt>
                <c:pt idx="2">
                  <c:v>1.6020599913279623</c:v>
                </c:pt>
                <c:pt idx="3">
                  <c:v>1.1760912590556813</c:v>
                </c:pt>
                <c:pt idx="4">
                  <c:v>0.95424250943932487</c:v>
                </c:pt>
                <c:pt idx="5">
                  <c:v>1.3617278360175928</c:v>
                </c:pt>
                <c:pt idx="6">
                  <c:v>0.69897000433601886</c:v>
                </c:pt>
                <c:pt idx="7">
                  <c:v>1.5563025007672873</c:v>
                </c:pt>
                <c:pt idx="8">
                  <c:v>1.3617278360175928</c:v>
                </c:pt>
                <c:pt idx="9">
                  <c:v>1.4623979978989561</c:v>
                </c:pt>
                <c:pt idx="10">
                  <c:v>1.5185139398778875</c:v>
                </c:pt>
                <c:pt idx="11">
                  <c:v>1.3010299956639813</c:v>
                </c:pt>
                <c:pt idx="12">
                  <c:v>1.3424226808222062</c:v>
                </c:pt>
                <c:pt idx="13">
                  <c:v>1.255272505103306</c:v>
                </c:pt>
                <c:pt idx="14">
                  <c:v>0.90308998699194354</c:v>
                </c:pt>
                <c:pt idx="15">
                  <c:v>1.0791812460476249</c:v>
                </c:pt>
                <c:pt idx="16">
                  <c:v>1.5910646070264991</c:v>
                </c:pt>
                <c:pt idx="17">
                  <c:v>1.5185139398778875</c:v>
                </c:pt>
                <c:pt idx="18">
                  <c:v>1.568201724066995</c:v>
                </c:pt>
                <c:pt idx="19">
                  <c:v>1.0413926851582251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87104"/>
        <c:axId val="146689024"/>
      </c:scatterChart>
      <c:valAx>
        <c:axId val="146687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689024"/>
        <c:crosses val="autoZero"/>
        <c:crossBetween val="midCat"/>
      </c:valAx>
      <c:valAx>
        <c:axId val="14668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14668710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Testing!$Q$24:$Q$43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Testing!$R$24:$R$43</c:f>
              <c:numCache>
                <c:formatCode>General</c:formatCode>
                <c:ptCount val="20"/>
                <c:pt idx="0">
                  <c:v>8</c:v>
                </c:pt>
                <c:pt idx="1">
                  <c:v>64</c:v>
                </c:pt>
                <c:pt idx="2">
                  <c:v>216</c:v>
                </c:pt>
                <c:pt idx="3">
                  <c:v>512</c:v>
                </c:pt>
                <c:pt idx="4">
                  <c:v>1000</c:v>
                </c:pt>
                <c:pt idx="5">
                  <c:v>1728</c:v>
                </c:pt>
                <c:pt idx="6">
                  <c:v>2744</c:v>
                </c:pt>
                <c:pt idx="7">
                  <c:v>4096</c:v>
                </c:pt>
                <c:pt idx="8">
                  <c:v>5832</c:v>
                </c:pt>
                <c:pt idx="9">
                  <c:v>8000</c:v>
                </c:pt>
                <c:pt idx="10">
                  <c:v>10648</c:v>
                </c:pt>
                <c:pt idx="11">
                  <c:v>13824</c:v>
                </c:pt>
                <c:pt idx="12">
                  <c:v>17576</c:v>
                </c:pt>
                <c:pt idx="13">
                  <c:v>21952</c:v>
                </c:pt>
                <c:pt idx="14">
                  <c:v>27000</c:v>
                </c:pt>
                <c:pt idx="15">
                  <c:v>32768</c:v>
                </c:pt>
                <c:pt idx="16">
                  <c:v>39304</c:v>
                </c:pt>
                <c:pt idx="17">
                  <c:v>46656</c:v>
                </c:pt>
                <c:pt idx="18">
                  <c:v>54872</c:v>
                </c:pt>
                <c:pt idx="19">
                  <c:v>64000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15392"/>
        <c:axId val="146717312"/>
      </c:scatterChart>
      <c:scatterChart>
        <c:scatterStyle val="lineMarker"/>
        <c:varyColors val="0"/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Testing!$S$24:$S$43</c:f>
              <c:numCache>
                <c:formatCode>General</c:formatCode>
                <c:ptCount val="20"/>
                <c:pt idx="0">
                  <c:v>8</c:v>
                </c:pt>
                <c:pt idx="1">
                  <c:v>30</c:v>
                </c:pt>
                <c:pt idx="2">
                  <c:v>30</c:v>
                </c:pt>
                <c:pt idx="3">
                  <c:v>36</c:v>
                </c:pt>
                <c:pt idx="4">
                  <c:v>33</c:v>
                </c:pt>
                <c:pt idx="5">
                  <c:v>10</c:v>
                </c:pt>
                <c:pt idx="6">
                  <c:v>10</c:v>
                </c:pt>
                <c:pt idx="7">
                  <c:v>13</c:v>
                </c:pt>
                <c:pt idx="8">
                  <c:v>34</c:v>
                </c:pt>
                <c:pt idx="9">
                  <c:v>36</c:v>
                </c:pt>
                <c:pt idx="10">
                  <c:v>20</c:v>
                </c:pt>
                <c:pt idx="11">
                  <c:v>11</c:v>
                </c:pt>
                <c:pt idx="12">
                  <c:v>25</c:v>
                </c:pt>
                <c:pt idx="13">
                  <c:v>9</c:v>
                </c:pt>
                <c:pt idx="14">
                  <c:v>23</c:v>
                </c:pt>
                <c:pt idx="15">
                  <c:v>2</c:v>
                </c:pt>
                <c:pt idx="16">
                  <c:v>3</c:v>
                </c:pt>
                <c:pt idx="17">
                  <c:v>22</c:v>
                </c:pt>
                <c:pt idx="18">
                  <c:v>26</c:v>
                </c:pt>
                <c:pt idx="19">
                  <c:v>38</c:v>
                </c:pt>
              </c:numCache>
            </c:numRef>
          </c:xVal>
          <c:yVal>
            <c:numRef>
              <c:f>Testing!$T$24:$T$43</c:f>
              <c:numCache>
                <c:formatCode>General</c:formatCode>
                <c:ptCount val="20"/>
                <c:pt idx="0">
                  <c:v>512</c:v>
                </c:pt>
                <c:pt idx="1">
                  <c:v>27000</c:v>
                </c:pt>
                <c:pt idx="2">
                  <c:v>27000</c:v>
                </c:pt>
                <c:pt idx="3">
                  <c:v>46656</c:v>
                </c:pt>
                <c:pt idx="4">
                  <c:v>35937</c:v>
                </c:pt>
                <c:pt idx="5">
                  <c:v>1000</c:v>
                </c:pt>
                <c:pt idx="6">
                  <c:v>1000</c:v>
                </c:pt>
                <c:pt idx="7">
                  <c:v>2197</c:v>
                </c:pt>
                <c:pt idx="8">
                  <c:v>39304</c:v>
                </c:pt>
                <c:pt idx="9">
                  <c:v>46656</c:v>
                </c:pt>
                <c:pt idx="10">
                  <c:v>8000</c:v>
                </c:pt>
                <c:pt idx="11">
                  <c:v>1331</c:v>
                </c:pt>
                <c:pt idx="12">
                  <c:v>15625</c:v>
                </c:pt>
                <c:pt idx="13">
                  <c:v>729</c:v>
                </c:pt>
                <c:pt idx="14">
                  <c:v>12167</c:v>
                </c:pt>
                <c:pt idx="15">
                  <c:v>8</c:v>
                </c:pt>
                <c:pt idx="16">
                  <c:v>29.502183406113534</c:v>
                </c:pt>
                <c:pt idx="17">
                  <c:v>10648</c:v>
                </c:pt>
                <c:pt idx="18">
                  <c:v>17576</c:v>
                </c:pt>
                <c:pt idx="19">
                  <c:v>54872</c:v>
                </c:pt>
              </c:numCache>
            </c:numRef>
          </c:yVal>
          <c:smooth val="0"/>
        </c:ser>
        <c:ser>
          <c:idx val="1"/>
          <c:order val="2"/>
          <c:tx>
            <c:v>X³</c:v>
          </c:tx>
          <c:spPr>
            <a:ln w="28575">
              <a:noFill/>
            </a:ln>
          </c:spPr>
          <c:marker>
            <c:symbol val="x"/>
            <c:size val="9"/>
            <c:spPr>
              <a:ln w="25400">
                <a:solidFill>
                  <a:srgbClr val="D6DDD6"/>
                </a:solidFill>
              </a:ln>
            </c:spPr>
          </c:marker>
          <c:xVal>
            <c:numRef>
              <c:f>Testing!$S$24:$S$43</c:f>
              <c:numCache>
                <c:formatCode>General</c:formatCode>
                <c:ptCount val="20"/>
                <c:pt idx="0">
                  <c:v>8</c:v>
                </c:pt>
                <c:pt idx="1">
                  <c:v>30</c:v>
                </c:pt>
                <c:pt idx="2">
                  <c:v>30</c:v>
                </c:pt>
                <c:pt idx="3">
                  <c:v>36</c:v>
                </c:pt>
                <c:pt idx="4">
                  <c:v>33</c:v>
                </c:pt>
                <c:pt idx="5">
                  <c:v>10</c:v>
                </c:pt>
                <c:pt idx="6">
                  <c:v>10</c:v>
                </c:pt>
                <c:pt idx="7">
                  <c:v>13</c:v>
                </c:pt>
                <c:pt idx="8">
                  <c:v>34</c:v>
                </c:pt>
                <c:pt idx="9">
                  <c:v>36</c:v>
                </c:pt>
                <c:pt idx="10">
                  <c:v>20</c:v>
                </c:pt>
                <c:pt idx="11">
                  <c:v>11</c:v>
                </c:pt>
                <c:pt idx="12">
                  <c:v>25</c:v>
                </c:pt>
                <c:pt idx="13">
                  <c:v>9</c:v>
                </c:pt>
                <c:pt idx="14">
                  <c:v>23</c:v>
                </c:pt>
                <c:pt idx="15">
                  <c:v>2</c:v>
                </c:pt>
                <c:pt idx="16">
                  <c:v>3</c:v>
                </c:pt>
                <c:pt idx="17">
                  <c:v>22</c:v>
                </c:pt>
                <c:pt idx="18">
                  <c:v>26</c:v>
                </c:pt>
                <c:pt idx="19">
                  <c:v>38</c:v>
                </c:pt>
              </c:numCache>
            </c:numRef>
          </c:xVal>
          <c:yVal>
            <c:numRef>
              <c:f>Testing!$U$24:$U$43</c:f>
              <c:numCache>
                <c:formatCode>General</c:formatCode>
                <c:ptCount val="20"/>
                <c:pt idx="0">
                  <c:v>512</c:v>
                </c:pt>
                <c:pt idx="1">
                  <c:v>27000</c:v>
                </c:pt>
                <c:pt idx="2">
                  <c:v>27000</c:v>
                </c:pt>
                <c:pt idx="3">
                  <c:v>46656</c:v>
                </c:pt>
                <c:pt idx="4">
                  <c:v>35937</c:v>
                </c:pt>
                <c:pt idx="5">
                  <c:v>1000</c:v>
                </c:pt>
                <c:pt idx="6">
                  <c:v>1000</c:v>
                </c:pt>
                <c:pt idx="7">
                  <c:v>2197</c:v>
                </c:pt>
                <c:pt idx="8">
                  <c:v>39304</c:v>
                </c:pt>
                <c:pt idx="9">
                  <c:v>46656</c:v>
                </c:pt>
                <c:pt idx="10">
                  <c:v>8000</c:v>
                </c:pt>
                <c:pt idx="11">
                  <c:v>1331</c:v>
                </c:pt>
                <c:pt idx="12">
                  <c:v>15625</c:v>
                </c:pt>
                <c:pt idx="13">
                  <c:v>729</c:v>
                </c:pt>
                <c:pt idx="14">
                  <c:v>12167</c:v>
                </c:pt>
                <c:pt idx="15">
                  <c:v>8</c:v>
                </c:pt>
                <c:pt idx="16">
                  <c:v>27</c:v>
                </c:pt>
                <c:pt idx="17">
                  <c:v>10648</c:v>
                </c:pt>
                <c:pt idx="18">
                  <c:v>17576</c:v>
                </c:pt>
                <c:pt idx="19">
                  <c:v>54872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15392"/>
        <c:axId val="146717312"/>
      </c:scatterChart>
      <c:valAx>
        <c:axId val="14671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717312"/>
        <c:crosses val="autoZero"/>
        <c:crossBetween val="midCat"/>
      </c:valAx>
      <c:valAx>
        <c:axId val="14671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1467153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Testing!$Y$24:$Y$43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Testing!$Z$24:$Z$43</c:f>
              <c:numCache>
                <c:formatCode>General</c:formatCode>
                <c:ptCount val="20"/>
                <c:pt idx="0">
                  <c:v>7.3890560989306504</c:v>
                </c:pt>
                <c:pt idx="1">
                  <c:v>54.598150033144236</c:v>
                </c:pt>
                <c:pt idx="2">
                  <c:v>403.42879349273511</c:v>
                </c:pt>
                <c:pt idx="3">
                  <c:v>2980.9579870417283</c:v>
                </c:pt>
                <c:pt idx="4">
                  <c:v>22026.465794806718</c:v>
                </c:pt>
                <c:pt idx="5">
                  <c:v>162754.79141900392</c:v>
                </c:pt>
                <c:pt idx="6">
                  <c:v>1202604.2841647768</c:v>
                </c:pt>
                <c:pt idx="7">
                  <c:v>8886110.5205078721</c:v>
                </c:pt>
                <c:pt idx="8">
                  <c:v>65659969.13733051</c:v>
                </c:pt>
                <c:pt idx="9">
                  <c:v>485165195.40979028</c:v>
                </c:pt>
                <c:pt idx="10">
                  <c:v>3584912846.1315918</c:v>
                </c:pt>
                <c:pt idx="11">
                  <c:v>26489122129.843472</c:v>
                </c:pt>
                <c:pt idx="12">
                  <c:v>195729609428.83878</c:v>
                </c:pt>
                <c:pt idx="13">
                  <c:v>1446257064291.4751</c:v>
                </c:pt>
                <c:pt idx="14">
                  <c:v>10686474581524.463</c:v>
                </c:pt>
                <c:pt idx="15">
                  <c:v>78962960182680.687</c:v>
                </c:pt>
                <c:pt idx="16">
                  <c:v>583461742527454.87</c:v>
                </c:pt>
                <c:pt idx="17">
                  <c:v>4311231547115195</c:v>
                </c:pt>
                <c:pt idx="18">
                  <c:v>3.1855931757113756E+16</c:v>
                </c:pt>
                <c:pt idx="19">
                  <c:v>2.3538526683702E+17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19072"/>
        <c:axId val="146425344"/>
      </c:scatterChart>
      <c:scatterChart>
        <c:scatterStyle val="lineMarker"/>
        <c:varyColors val="0"/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Testing!$AA$24:$AA$43</c:f>
              <c:numCache>
                <c:formatCode>General</c:formatCode>
                <c:ptCount val="20"/>
                <c:pt idx="0">
                  <c:v>7</c:v>
                </c:pt>
                <c:pt idx="1">
                  <c:v>26</c:v>
                </c:pt>
                <c:pt idx="2">
                  <c:v>31</c:v>
                </c:pt>
                <c:pt idx="3">
                  <c:v>18</c:v>
                </c:pt>
                <c:pt idx="4">
                  <c:v>7</c:v>
                </c:pt>
                <c:pt idx="5">
                  <c:v>3</c:v>
                </c:pt>
                <c:pt idx="6">
                  <c:v>2</c:v>
                </c:pt>
                <c:pt idx="7">
                  <c:v>14</c:v>
                </c:pt>
                <c:pt idx="8">
                  <c:v>34</c:v>
                </c:pt>
                <c:pt idx="9">
                  <c:v>21</c:v>
                </c:pt>
                <c:pt idx="10">
                  <c:v>22</c:v>
                </c:pt>
                <c:pt idx="11">
                  <c:v>11</c:v>
                </c:pt>
                <c:pt idx="12">
                  <c:v>16</c:v>
                </c:pt>
                <c:pt idx="13">
                  <c:v>4</c:v>
                </c:pt>
                <c:pt idx="14">
                  <c:v>23</c:v>
                </c:pt>
                <c:pt idx="15">
                  <c:v>27</c:v>
                </c:pt>
                <c:pt idx="16">
                  <c:v>25</c:v>
                </c:pt>
                <c:pt idx="17">
                  <c:v>13</c:v>
                </c:pt>
                <c:pt idx="18">
                  <c:v>23</c:v>
                </c:pt>
                <c:pt idx="19">
                  <c:v>16</c:v>
                </c:pt>
              </c:numCache>
            </c:numRef>
          </c:xVal>
          <c:yVal>
            <c:numRef>
              <c:f>Testing!$AB$24:$AB$43</c:f>
              <c:numCache>
                <c:formatCode>General</c:formatCode>
                <c:ptCount val="20"/>
                <c:pt idx="0">
                  <c:v>1278.4036039079795</c:v>
                </c:pt>
                <c:pt idx="1">
                  <c:v>195729609428.83878</c:v>
                </c:pt>
                <c:pt idx="2">
                  <c:v>33863791820563.609</c:v>
                </c:pt>
                <c:pt idx="3">
                  <c:v>65659969.13733051</c:v>
                </c:pt>
                <c:pt idx="4">
                  <c:v>1278.4036039079795</c:v>
                </c:pt>
                <c:pt idx="5">
                  <c:v>10.578170674581775</c:v>
                </c:pt>
                <c:pt idx="6">
                  <c:v>7.3890560989306504</c:v>
                </c:pt>
                <c:pt idx="7">
                  <c:v>1202604.2841647768</c:v>
                </c:pt>
                <c:pt idx="8">
                  <c:v>583461742527454.87</c:v>
                </c:pt>
                <c:pt idx="9">
                  <c:v>1537413770.1449971</c:v>
                </c:pt>
                <c:pt idx="10">
                  <c:v>3584912846.1315918</c:v>
                </c:pt>
                <c:pt idx="11">
                  <c:v>69798.477178644593</c:v>
                </c:pt>
                <c:pt idx="12">
                  <c:v>8886110.5205078721</c:v>
                </c:pt>
                <c:pt idx="13">
                  <c:v>54.598150033144236</c:v>
                </c:pt>
                <c:pt idx="14">
                  <c:v>11360036594.869856</c:v>
                </c:pt>
                <c:pt idx="15">
                  <c:v>620236982388.71326</c:v>
                </c:pt>
                <c:pt idx="16">
                  <c:v>83939947685.398483</c:v>
                </c:pt>
                <c:pt idx="17">
                  <c:v>515744.86350610427</c:v>
                </c:pt>
                <c:pt idx="18">
                  <c:v>11360036594.869856</c:v>
                </c:pt>
                <c:pt idx="19">
                  <c:v>8886110.5205078721</c:v>
                </c:pt>
              </c:numCache>
            </c:numRef>
          </c:yVal>
          <c:smooth val="0"/>
        </c:ser>
        <c:ser>
          <c:idx val="1"/>
          <c:order val="2"/>
          <c:tx>
            <c:v>Exp X</c:v>
          </c:tx>
          <c:spPr>
            <a:ln w="28575">
              <a:noFill/>
            </a:ln>
          </c:spPr>
          <c:marker>
            <c:symbol val="x"/>
            <c:size val="9"/>
            <c:spPr>
              <a:ln w="25400">
                <a:solidFill>
                  <a:srgbClr val="D6DDD6"/>
                </a:solidFill>
              </a:ln>
            </c:spPr>
          </c:marker>
          <c:xVal>
            <c:numRef>
              <c:f>Testing!$AA$24:$AA$43</c:f>
              <c:numCache>
                <c:formatCode>General</c:formatCode>
                <c:ptCount val="20"/>
                <c:pt idx="0">
                  <c:v>7</c:v>
                </c:pt>
                <c:pt idx="1">
                  <c:v>26</c:v>
                </c:pt>
                <c:pt idx="2">
                  <c:v>31</c:v>
                </c:pt>
                <c:pt idx="3">
                  <c:v>18</c:v>
                </c:pt>
                <c:pt idx="4">
                  <c:v>7</c:v>
                </c:pt>
                <c:pt idx="5">
                  <c:v>3</c:v>
                </c:pt>
                <c:pt idx="6">
                  <c:v>2</c:v>
                </c:pt>
                <c:pt idx="7">
                  <c:v>14</c:v>
                </c:pt>
                <c:pt idx="8">
                  <c:v>34</c:v>
                </c:pt>
                <c:pt idx="9">
                  <c:v>21</c:v>
                </c:pt>
                <c:pt idx="10">
                  <c:v>22</c:v>
                </c:pt>
                <c:pt idx="11">
                  <c:v>11</c:v>
                </c:pt>
                <c:pt idx="12">
                  <c:v>16</c:v>
                </c:pt>
                <c:pt idx="13">
                  <c:v>4</c:v>
                </c:pt>
                <c:pt idx="14">
                  <c:v>23</c:v>
                </c:pt>
                <c:pt idx="15">
                  <c:v>27</c:v>
                </c:pt>
                <c:pt idx="16">
                  <c:v>25</c:v>
                </c:pt>
                <c:pt idx="17">
                  <c:v>13</c:v>
                </c:pt>
                <c:pt idx="18">
                  <c:v>23</c:v>
                </c:pt>
                <c:pt idx="19">
                  <c:v>16</c:v>
                </c:pt>
              </c:numCache>
            </c:numRef>
          </c:xVal>
          <c:yVal>
            <c:numRef>
              <c:f>Testing!$AC$24:$AC$43</c:f>
              <c:numCache>
                <c:formatCode>General</c:formatCode>
                <c:ptCount val="20"/>
                <c:pt idx="0">
                  <c:v>1096.6331584284585</c:v>
                </c:pt>
                <c:pt idx="1">
                  <c:v>195729609428.83878</c:v>
                </c:pt>
                <c:pt idx="2">
                  <c:v>29048849665247.426</c:v>
                </c:pt>
                <c:pt idx="3">
                  <c:v>65659969.13733051</c:v>
                </c:pt>
                <c:pt idx="4">
                  <c:v>1096.6331584284585</c:v>
                </c:pt>
                <c:pt idx="5">
                  <c:v>20.085536923187668</c:v>
                </c:pt>
                <c:pt idx="6">
                  <c:v>7.3890560989306504</c:v>
                </c:pt>
                <c:pt idx="7">
                  <c:v>1202604.2841647768</c:v>
                </c:pt>
                <c:pt idx="8">
                  <c:v>583461742527454.87</c:v>
                </c:pt>
                <c:pt idx="9">
                  <c:v>1318815734.4832146</c:v>
                </c:pt>
                <c:pt idx="10">
                  <c:v>3584912846.1315918</c:v>
                </c:pt>
                <c:pt idx="11">
                  <c:v>59874.141715197817</c:v>
                </c:pt>
                <c:pt idx="12">
                  <c:v>8886110.5205078721</c:v>
                </c:pt>
                <c:pt idx="13">
                  <c:v>54.598150033144236</c:v>
                </c:pt>
                <c:pt idx="14">
                  <c:v>9744803446.2489033</c:v>
                </c:pt>
                <c:pt idx="15">
                  <c:v>532048240601.79865</c:v>
                </c:pt>
                <c:pt idx="16">
                  <c:v>72004899337.38588</c:v>
                </c:pt>
                <c:pt idx="17">
                  <c:v>442413.39200892049</c:v>
                </c:pt>
                <c:pt idx="18">
                  <c:v>9744803446.2489033</c:v>
                </c:pt>
                <c:pt idx="19">
                  <c:v>8886110.5205078721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19072"/>
        <c:axId val="146425344"/>
      </c:scatterChart>
      <c:valAx>
        <c:axId val="14641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425344"/>
        <c:crosses val="autoZero"/>
        <c:crossBetween val="midCat"/>
      </c:valAx>
      <c:valAx>
        <c:axId val="146425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14641907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Testing!$AG$24:$AG$43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Testing!$AH$24:$AH$43</c:f>
              <c:numCache>
                <c:formatCode>General</c:formatCode>
                <c:ptCount val="20"/>
                <c:pt idx="0">
                  <c:v>-0.41614683654714241</c:v>
                </c:pt>
                <c:pt idx="1">
                  <c:v>-0.65364362086361194</c:v>
                </c:pt>
                <c:pt idx="2">
                  <c:v>0.96017028665036597</c:v>
                </c:pt>
                <c:pt idx="3">
                  <c:v>-0.14550003380861354</c:v>
                </c:pt>
                <c:pt idx="4">
                  <c:v>-0.83907152907645244</c:v>
                </c:pt>
                <c:pt idx="5">
                  <c:v>0.84385395873249214</c:v>
                </c:pt>
                <c:pt idx="6">
                  <c:v>0.13673721820783361</c:v>
                </c:pt>
                <c:pt idx="7">
                  <c:v>-0.95765948032338466</c:v>
                </c:pt>
                <c:pt idx="8">
                  <c:v>0.66031670824408017</c:v>
                </c:pt>
                <c:pt idx="9">
                  <c:v>0.40808206181339196</c:v>
                </c:pt>
                <c:pt idx="10">
                  <c:v>-0.99996082639463713</c:v>
                </c:pt>
                <c:pt idx="11">
                  <c:v>0.42417900733699698</c:v>
                </c:pt>
                <c:pt idx="12">
                  <c:v>0.64691932232864036</c:v>
                </c:pt>
                <c:pt idx="13">
                  <c:v>-0.96260586631356659</c:v>
                </c:pt>
                <c:pt idx="14">
                  <c:v>0.15425144988758405</c:v>
                </c:pt>
                <c:pt idx="15">
                  <c:v>0.83422336050651025</c:v>
                </c:pt>
                <c:pt idx="16">
                  <c:v>-0.84857027478460523</c:v>
                </c:pt>
                <c:pt idx="17">
                  <c:v>-0.12796368962740468</c:v>
                </c:pt>
                <c:pt idx="18">
                  <c:v>0.95507364404729489</c:v>
                </c:pt>
                <c:pt idx="19">
                  <c:v>-0.66693806165226188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69632"/>
        <c:axId val="146471552"/>
      </c:scatterChart>
      <c:scatterChart>
        <c:scatterStyle val="lineMarker"/>
        <c:varyColors val="0"/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Testing!$AI$24:$AI$43</c:f>
              <c:numCache>
                <c:formatCode>General</c:formatCode>
                <c:ptCount val="20"/>
                <c:pt idx="0">
                  <c:v>37</c:v>
                </c:pt>
                <c:pt idx="1">
                  <c:v>13</c:v>
                </c:pt>
                <c:pt idx="2">
                  <c:v>23</c:v>
                </c:pt>
                <c:pt idx="3">
                  <c:v>11</c:v>
                </c:pt>
                <c:pt idx="4">
                  <c:v>31</c:v>
                </c:pt>
                <c:pt idx="5">
                  <c:v>34</c:v>
                </c:pt>
                <c:pt idx="6">
                  <c:v>26</c:v>
                </c:pt>
                <c:pt idx="7">
                  <c:v>24</c:v>
                </c:pt>
                <c:pt idx="8">
                  <c:v>13</c:v>
                </c:pt>
                <c:pt idx="9">
                  <c:v>4</c:v>
                </c:pt>
                <c:pt idx="10">
                  <c:v>24</c:v>
                </c:pt>
                <c:pt idx="11">
                  <c:v>17</c:v>
                </c:pt>
                <c:pt idx="12">
                  <c:v>33</c:v>
                </c:pt>
                <c:pt idx="13">
                  <c:v>32</c:v>
                </c:pt>
                <c:pt idx="14">
                  <c:v>9</c:v>
                </c:pt>
                <c:pt idx="15">
                  <c:v>13</c:v>
                </c:pt>
                <c:pt idx="16">
                  <c:v>27</c:v>
                </c:pt>
                <c:pt idx="17">
                  <c:v>22</c:v>
                </c:pt>
                <c:pt idx="18">
                  <c:v>8</c:v>
                </c:pt>
                <c:pt idx="19">
                  <c:v>21</c:v>
                </c:pt>
              </c:numCache>
            </c:numRef>
          </c:xVal>
          <c:yVal>
            <c:numRef>
              <c:f>Testing!$AJ$24:$AJ$43</c:f>
              <c:numCache>
                <c:formatCode>General</c:formatCode>
                <c:ptCount val="20"/>
                <c:pt idx="0">
                  <c:v>0.55996862038849249</c:v>
                </c:pt>
                <c:pt idx="1">
                  <c:v>0.66387822511642303</c:v>
                </c:pt>
                <c:pt idx="2">
                  <c:v>-0.38981485972879959</c:v>
                </c:pt>
                <c:pt idx="3">
                  <c:v>3.2377926565710785E-3</c:v>
                </c:pt>
                <c:pt idx="4">
                  <c:v>0.66921558966531391</c:v>
                </c:pt>
                <c:pt idx="5">
                  <c:v>-0.84857027478460523</c:v>
                </c:pt>
                <c:pt idx="6">
                  <c:v>0.64691932232864036</c:v>
                </c:pt>
                <c:pt idx="7">
                  <c:v>0.42417900733699698</c:v>
                </c:pt>
                <c:pt idx="8">
                  <c:v>0.66387822511642303</c:v>
                </c:pt>
                <c:pt idx="9">
                  <c:v>-0.65364362086361194</c:v>
                </c:pt>
                <c:pt idx="10">
                  <c:v>0.42417900733699698</c:v>
                </c:pt>
                <c:pt idx="11">
                  <c:v>-0.20130651429593538</c:v>
                </c:pt>
                <c:pt idx="12">
                  <c:v>-9.7131242976896542E-3</c:v>
                </c:pt>
                <c:pt idx="13">
                  <c:v>0.83422336050651025</c:v>
                </c:pt>
                <c:pt idx="14">
                  <c:v>-0.66657301945927827</c:v>
                </c:pt>
                <c:pt idx="15">
                  <c:v>0.66387822511642303</c:v>
                </c:pt>
                <c:pt idx="16">
                  <c:v>-0.21372558456805735</c:v>
                </c:pt>
                <c:pt idx="17">
                  <c:v>-0.99996082639463713</c:v>
                </c:pt>
                <c:pt idx="18">
                  <c:v>-0.14550003380861354</c:v>
                </c:pt>
                <c:pt idx="19">
                  <c:v>-0.40071278730076765</c:v>
                </c:pt>
              </c:numCache>
            </c:numRef>
          </c:yVal>
          <c:smooth val="0"/>
        </c:ser>
        <c:ser>
          <c:idx val="1"/>
          <c:order val="2"/>
          <c:tx>
            <c:v>Cos X</c:v>
          </c:tx>
          <c:spPr>
            <a:ln w="28575">
              <a:noFill/>
            </a:ln>
          </c:spPr>
          <c:marker>
            <c:symbol val="x"/>
            <c:size val="9"/>
            <c:spPr>
              <a:ln w="25400">
                <a:solidFill>
                  <a:srgbClr val="D6DDD6"/>
                </a:solidFill>
              </a:ln>
            </c:spPr>
          </c:marker>
          <c:xVal>
            <c:numRef>
              <c:f>Testing!$AI$24:$AI$43</c:f>
              <c:numCache>
                <c:formatCode>General</c:formatCode>
                <c:ptCount val="20"/>
                <c:pt idx="0">
                  <c:v>37</c:v>
                </c:pt>
                <c:pt idx="1">
                  <c:v>13</c:v>
                </c:pt>
                <c:pt idx="2">
                  <c:v>23</c:v>
                </c:pt>
                <c:pt idx="3">
                  <c:v>11</c:v>
                </c:pt>
                <c:pt idx="4">
                  <c:v>31</c:v>
                </c:pt>
                <c:pt idx="5">
                  <c:v>34</c:v>
                </c:pt>
                <c:pt idx="6">
                  <c:v>26</c:v>
                </c:pt>
                <c:pt idx="7">
                  <c:v>24</c:v>
                </c:pt>
                <c:pt idx="8">
                  <c:v>13</c:v>
                </c:pt>
                <c:pt idx="9">
                  <c:v>4</c:v>
                </c:pt>
                <c:pt idx="10">
                  <c:v>24</c:v>
                </c:pt>
                <c:pt idx="11">
                  <c:v>17</c:v>
                </c:pt>
                <c:pt idx="12">
                  <c:v>33</c:v>
                </c:pt>
                <c:pt idx="13">
                  <c:v>32</c:v>
                </c:pt>
                <c:pt idx="14">
                  <c:v>9</c:v>
                </c:pt>
                <c:pt idx="15">
                  <c:v>13</c:v>
                </c:pt>
                <c:pt idx="16">
                  <c:v>27</c:v>
                </c:pt>
                <c:pt idx="17">
                  <c:v>22</c:v>
                </c:pt>
                <c:pt idx="18">
                  <c:v>8</c:v>
                </c:pt>
                <c:pt idx="19">
                  <c:v>21</c:v>
                </c:pt>
              </c:numCache>
            </c:numRef>
          </c:xVal>
          <c:yVal>
            <c:numRef>
              <c:f>Testing!$AK$24:$AK$43</c:f>
              <c:numCache>
                <c:formatCode>General</c:formatCode>
                <c:ptCount val="20"/>
                <c:pt idx="0">
                  <c:v>0.7654140519453434</c:v>
                </c:pt>
                <c:pt idx="1">
                  <c:v>0.90744678145019619</c:v>
                </c:pt>
                <c:pt idx="2">
                  <c:v>-0.53283302033339752</c:v>
                </c:pt>
                <c:pt idx="3">
                  <c:v>4.4256979880507854E-3</c:v>
                </c:pt>
                <c:pt idx="4">
                  <c:v>0.91474235780453128</c:v>
                </c:pt>
                <c:pt idx="5">
                  <c:v>-0.84857027478460523</c:v>
                </c:pt>
                <c:pt idx="6">
                  <c:v>0.64691932232864036</c:v>
                </c:pt>
                <c:pt idx="7">
                  <c:v>0.42417900733699698</c:v>
                </c:pt>
                <c:pt idx="8">
                  <c:v>0.90744678145019619</c:v>
                </c:pt>
                <c:pt idx="9">
                  <c:v>-0.65364362086361194</c:v>
                </c:pt>
                <c:pt idx="10">
                  <c:v>0.42417900733699698</c:v>
                </c:pt>
                <c:pt idx="11">
                  <c:v>-0.27516333805159693</c:v>
                </c:pt>
                <c:pt idx="12">
                  <c:v>-1.3276747223059479E-2</c:v>
                </c:pt>
                <c:pt idx="13">
                  <c:v>0.83422336050651025</c:v>
                </c:pt>
                <c:pt idx="14">
                  <c:v>-0.91113026188467694</c:v>
                </c:pt>
                <c:pt idx="15">
                  <c:v>0.90744678145019619</c:v>
                </c:pt>
                <c:pt idx="16">
                  <c:v>-0.29213880873383619</c:v>
                </c:pt>
                <c:pt idx="17">
                  <c:v>-0.99996082639463713</c:v>
                </c:pt>
                <c:pt idx="18">
                  <c:v>-0.14550003380861354</c:v>
                </c:pt>
                <c:pt idx="19">
                  <c:v>-0.54772926022426838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69632"/>
        <c:axId val="146471552"/>
      </c:scatterChart>
      <c:valAx>
        <c:axId val="14646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471552"/>
        <c:crosses val="autoZero"/>
        <c:crossBetween val="midCat"/>
      </c:valAx>
      <c:valAx>
        <c:axId val="14647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1464696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Raw data and Excel fit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Testing!$A$24:$A$43</c:f>
              <c:numCache>
                <c:formatCode>General</c:formatCode>
                <c:ptCount val="2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20</c:v>
                </c:pt>
                <c:pt idx="10">
                  <c:v>22</c:v>
                </c:pt>
                <c:pt idx="11">
                  <c:v>24</c:v>
                </c:pt>
                <c:pt idx="12">
                  <c:v>26</c:v>
                </c:pt>
                <c:pt idx="13">
                  <c:v>28</c:v>
                </c:pt>
                <c:pt idx="14">
                  <c:v>30</c:v>
                </c:pt>
                <c:pt idx="15">
                  <c:v>32</c:v>
                </c:pt>
                <c:pt idx="16">
                  <c:v>34</c:v>
                </c:pt>
                <c:pt idx="17">
                  <c:v>36</c:v>
                </c:pt>
                <c:pt idx="18">
                  <c:v>38</c:v>
                </c:pt>
                <c:pt idx="19">
                  <c:v>40</c:v>
                </c:pt>
              </c:numCache>
            </c:numRef>
          </c:xVal>
          <c:yVal>
            <c:numRef>
              <c:f>Testing!$B$24:$B$43</c:f>
              <c:numCache>
                <c:formatCode>General</c:formatCode>
                <c:ptCount val="20"/>
                <c:pt idx="0">
                  <c:v>0.5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7.1428571428571425E-2</c:v>
                </c:pt>
                <c:pt idx="7">
                  <c:v>6.25E-2</c:v>
                </c:pt>
                <c:pt idx="8">
                  <c:v>5.5555555555555552E-2</c:v>
                </c:pt>
                <c:pt idx="9">
                  <c:v>0.05</c:v>
                </c:pt>
                <c:pt idx="10">
                  <c:v>4.5454545454545456E-2</c:v>
                </c:pt>
                <c:pt idx="11">
                  <c:v>4.1666666666666664E-2</c:v>
                </c:pt>
                <c:pt idx="12">
                  <c:v>3.8461538461538464E-2</c:v>
                </c:pt>
                <c:pt idx="13">
                  <c:v>3.5714285714285712E-2</c:v>
                </c:pt>
                <c:pt idx="14">
                  <c:v>3.3333333333333333E-2</c:v>
                </c:pt>
                <c:pt idx="15">
                  <c:v>3.125E-2</c:v>
                </c:pt>
                <c:pt idx="16">
                  <c:v>2.9411764705882353E-2</c:v>
                </c:pt>
                <c:pt idx="17">
                  <c:v>2.7777777777777776E-2</c:v>
                </c:pt>
                <c:pt idx="18">
                  <c:v>2.6315789473684209E-2</c:v>
                </c:pt>
                <c:pt idx="19">
                  <c:v>2.5000000000000001E-2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989632"/>
        <c:axId val="145991552"/>
      </c:scatterChart>
      <c:scatterChart>
        <c:scatterStyle val="lineMarker"/>
        <c:varyColors val="0"/>
        <c:ser>
          <c:idx val="3"/>
          <c:order val="1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Testing!$C$24:$C$43</c:f>
              <c:numCache>
                <c:formatCode>General</c:formatCode>
                <c:ptCount val="20"/>
                <c:pt idx="0">
                  <c:v>17</c:v>
                </c:pt>
                <c:pt idx="1">
                  <c:v>35</c:v>
                </c:pt>
                <c:pt idx="2">
                  <c:v>26</c:v>
                </c:pt>
                <c:pt idx="3">
                  <c:v>30</c:v>
                </c:pt>
                <c:pt idx="4">
                  <c:v>32</c:v>
                </c:pt>
                <c:pt idx="5">
                  <c:v>37</c:v>
                </c:pt>
                <c:pt idx="6">
                  <c:v>40</c:v>
                </c:pt>
                <c:pt idx="7">
                  <c:v>19</c:v>
                </c:pt>
                <c:pt idx="8">
                  <c:v>28</c:v>
                </c:pt>
                <c:pt idx="9">
                  <c:v>5</c:v>
                </c:pt>
                <c:pt idx="10">
                  <c:v>31</c:v>
                </c:pt>
                <c:pt idx="11">
                  <c:v>11</c:v>
                </c:pt>
                <c:pt idx="12">
                  <c:v>34</c:v>
                </c:pt>
                <c:pt idx="13">
                  <c:v>29</c:v>
                </c:pt>
                <c:pt idx="14">
                  <c:v>38</c:v>
                </c:pt>
                <c:pt idx="15">
                  <c:v>22</c:v>
                </c:pt>
                <c:pt idx="16">
                  <c:v>20</c:v>
                </c:pt>
                <c:pt idx="17">
                  <c:v>33</c:v>
                </c:pt>
                <c:pt idx="18">
                  <c:v>8</c:v>
                </c:pt>
                <c:pt idx="19">
                  <c:v>8</c:v>
                </c:pt>
              </c:numCache>
            </c:numRef>
          </c:xVal>
          <c:yVal>
            <c:numRef>
              <c:f>Testing!$D$24:$D$43</c:f>
              <c:numCache>
                <c:formatCode>General</c:formatCode>
                <c:ptCount val="20"/>
                <c:pt idx="0">
                  <c:v>5.8816964285714285E-2</c:v>
                </c:pt>
                <c:pt idx="1">
                  <c:v>2.8571255804953559E-2</c:v>
                </c:pt>
                <c:pt idx="2">
                  <c:v>3.8461538461538464E-2</c:v>
                </c:pt>
                <c:pt idx="3">
                  <c:v>3.3333333333333333E-2</c:v>
                </c:pt>
                <c:pt idx="4">
                  <c:v>3.125E-2</c:v>
                </c:pt>
                <c:pt idx="5">
                  <c:v>2.702689628482972E-2</c:v>
                </c:pt>
                <c:pt idx="6">
                  <c:v>2.5000000000000001E-2</c:v>
                </c:pt>
                <c:pt idx="7">
                  <c:v>5.2627840909090902E-2</c:v>
                </c:pt>
                <c:pt idx="8">
                  <c:v>3.5714285714285712E-2</c:v>
                </c:pt>
                <c:pt idx="9">
                  <c:v>0.19531250000000003</c:v>
                </c:pt>
                <c:pt idx="10">
                  <c:v>3.2257746848739499E-2</c:v>
                </c:pt>
                <c:pt idx="11">
                  <c:v>9.0848214285714282E-2</c:v>
                </c:pt>
                <c:pt idx="12">
                  <c:v>2.9411764705882353E-2</c:v>
                </c:pt>
                <c:pt idx="13">
                  <c:v>3.4482314560439563E-2</c:v>
                </c:pt>
                <c:pt idx="14">
                  <c:v>2.6315789473684209E-2</c:v>
                </c:pt>
                <c:pt idx="15">
                  <c:v>4.5454545454545456E-2</c:v>
                </c:pt>
                <c:pt idx="16">
                  <c:v>0.05</c:v>
                </c:pt>
                <c:pt idx="17">
                  <c:v>3.0302798202614379E-2</c:v>
                </c:pt>
                <c:pt idx="18">
                  <c:v>0.125</c:v>
                </c:pt>
                <c:pt idx="19">
                  <c:v>0.125</c:v>
                </c:pt>
              </c:numCache>
            </c:numRef>
          </c:yVal>
          <c:smooth val="0"/>
        </c:ser>
        <c:ser>
          <c:idx val="1"/>
          <c:order val="2"/>
          <c:tx>
            <c:v>1/X</c:v>
          </c:tx>
          <c:spPr>
            <a:ln w="28575">
              <a:noFill/>
            </a:ln>
          </c:spPr>
          <c:marker>
            <c:symbol val="x"/>
            <c:size val="9"/>
            <c:spPr>
              <a:ln w="25400">
                <a:solidFill>
                  <a:srgbClr val="D6DDD6"/>
                </a:solidFill>
              </a:ln>
            </c:spPr>
          </c:marker>
          <c:xVal>
            <c:numRef>
              <c:f>Testing!$C$24:$C$43</c:f>
              <c:numCache>
                <c:formatCode>General</c:formatCode>
                <c:ptCount val="20"/>
                <c:pt idx="0">
                  <c:v>17</c:v>
                </c:pt>
                <c:pt idx="1">
                  <c:v>35</c:v>
                </c:pt>
                <c:pt idx="2">
                  <c:v>26</c:v>
                </c:pt>
                <c:pt idx="3">
                  <c:v>30</c:v>
                </c:pt>
                <c:pt idx="4">
                  <c:v>32</c:v>
                </c:pt>
                <c:pt idx="5">
                  <c:v>37</c:v>
                </c:pt>
                <c:pt idx="6">
                  <c:v>40</c:v>
                </c:pt>
                <c:pt idx="7">
                  <c:v>19</c:v>
                </c:pt>
                <c:pt idx="8">
                  <c:v>28</c:v>
                </c:pt>
                <c:pt idx="9">
                  <c:v>5</c:v>
                </c:pt>
                <c:pt idx="10">
                  <c:v>31</c:v>
                </c:pt>
                <c:pt idx="11">
                  <c:v>11</c:v>
                </c:pt>
                <c:pt idx="12">
                  <c:v>34</c:v>
                </c:pt>
                <c:pt idx="13">
                  <c:v>29</c:v>
                </c:pt>
                <c:pt idx="14">
                  <c:v>38</c:v>
                </c:pt>
                <c:pt idx="15">
                  <c:v>22</c:v>
                </c:pt>
                <c:pt idx="16">
                  <c:v>20</c:v>
                </c:pt>
                <c:pt idx="17">
                  <c:v>33</c:v>
                </c:pt>
                <c:pt idx="18">
                  <c:v>8</c:v>
                </c:pt>
                <c:pt idx="19">
                  <c:v>8</c:v>
                </c:pt>
              </c:numCache>
            </c:numRef>
          </c:xVal>
          <c:yVal>
            <c:numRef>
              <c:f>Testing!$E$24:$E$43</c:f>
              <c:numCache>
                <c:formatCode>General</c:formatCode>
                <c:ptCount val="20"/>
                <c:pt idx="0">
                  <c:v>5.8823529411764705E-2</c:v>
                </c:pt>
                <c:pt idx="1">
                  <c:v>2.8571428571428571E-2</c:v>
                </c:pt>
                <c:pt idx="2">
                  <c:v>3.8461538461538464E-2</c:v>
                </c:pt>
                <c:pt idx="3">
                  <c:v>3.3333333333333333E-2</c:v>
                </c:pt>
                <c:pt idx="4">
                  <c:v>3.125E-2</c:v>
                </c:pt>
                <c:pt idx="5">
                  <c:v>2.7027027027027029E-2</c:v>
                </c:pt>
                <c:pt idx="6">
                  <c:v>2.5000000000000001E-2</c:v>
                </c:pt>
                <c:pt idx="7">
                  <c:v>5.2631578947368418E-2</c:v>
                </c:pt>
                <c:pt idx="8">
                  <c:v>3.5714285714285712E-2</c:v>
                </c:pt>
                <c:pt idx="9">
                  <c:v>0.2</c:v>
                </c:pt>
                <c:pt idx="10">
                  <c:v>3.2258064516129031E-2</c:v>
                </c:pt>
                <c:pt idx="11">
                  <c:v>9.0909090909090912E-2</c:v>
                </c:pt>
                <c:pt idx="12">
                  <c:v>2.9411764705882353E-2</c:v>
                </c:pt>
                <c:pt idx="13">
                  <c:v>3.4482758620689655E-2</c:v>
                </c:pt>
                <c:pt idx="14">
                  <c:v>2.6315789473684209E-2</c:v>
                </c:pt>
                <c:pt idx="15">
                  <c:v>4.5454545454545456E-2</c:v>
                </c:pt>
                <c:pt idx="16">
                  <c:v>0.05</c:v>
                </c:pt>
                <c:pt idx="17">
                  <c:v>3.0303030303030304E-2</c:v>
                </c:pt>
                <c:pt idx="18">
                  <c:v>0.125</c:v>
                </c:pt>
                <c:pt idx="19">
                  <c:v>0.125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989632"/>
        <c:axId val="145991552"/>
      </c:scatterChart>
      <c:valAx>
        <c:axId val="14598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5991552"/>
        <c:crosses val="autoZero"/>
        <c:crossBetween val="midCat"/>
      </c:valAx>
      <c:valAx>
        <c:axId val="145991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14598963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2"/>
          <c:tx>
            <c:v>Interpolated values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E8112D"/>
              </a:solidFill>
              <a:ln>
                <a:solidFill>
                  <a:schemeClr val="tx1"/>
                </a:solidFill>
              </a:ln>
            </c:spPr>
          </c:marker>
          <c:dPt>
            <c:idx val="3"/>
            <c:marker>
              <c:symbol val="none"/>
            </c:marker>
            <c:bubble3D val="0"/>
          </c:dPt>
          <c:xVal>
            <c:numRef>
              <c:f>Testing!$AQ$24:$AQ$43</c:f>
              <c:numCache>
                <c:formatCode>General</c:formatCode>
                <c:ptCount val="20"/>
                <c:pt idx="0">
                  <c:v>9</c:v>
                </c:pt>
                <c:pt idx="1">
                  <c:v>-1</c:v>
                </c:pt>
                <c:pt idx="2">
                  <c:v>0</c:v>
                </c:pt>
                <c:pt idx="3">
                  <c:v>-7</c:v>
                </c:pt>
                <c:pt idx="4">
                  <c:v>8</c:v>
                </c:pt>
                <c:pt idx="5">
                  <c:v>9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-6</c:v>
                </c:pt>
                <c:pt idx="10">
                  <c:v>-7</c:v>
                </c:pt>
                <c:pt idx="11">
                  <c:v>-7</c:v>
                </c:pt>
                <c:pt idx="12">
                  <c:v>10</c:v>
                </c:pt>
                <c:pt idx="13">
                  <c:v>4</c:v>
                </c:pt>
                <c:pt idx="14">
                  <c:v>-9</c:v>
                </c:pt>
                <c:pt idx="15">
                  <c:v>3</c:v>
                </c:pt>
                <c:pt idx="16">
                  <c:v>0</c:v>
                </c:pt>
                <c:pt idx="17">
                  <c:v>4</c:v>
                </c:pt>
                <c:pt idx="18">
                  <c:v>-7</c:v>
                </c:pt>
                <c:pt idx="19">
                  <c:v>4</c:v>
                </c:pt>
              </c:numCache>
            </c:numRef>
          </c:xVal>
          <c:yVal>
            <c:numRef>
              <c:f>Testing!$AR$24:$AR$43</c:f>
              <c:numCache>
                <c:formatCode>General</c:formatCode>
                <c:ptCount val="20"/>
                <c:pt idx="0">
                  <c:v>4.1261104565317668</c:v>
                </c:pt>
                <c:pt idx="1">
                  <c:v>9.9770789344373405</c:v>
                </c:pt>
                <c:pt idx="2">
                  <c:v>10</c:v>
                </c:pt>
                <c:pt idx="3">
                  <c:v>7.1414284285428504</c:v>
                </c:pt>
                <c:pt idx="4">
                  <c:v>5.7597378572656597</c:v>
                </c:pt>
                <c:pt idx="5">
                  <c:v>4.1261104565317668</c:v>
                </c:pt>
                <c:pt idx="6">
                  <c:v>10</c:v>
                </c:pt>
                <c:pt idx="7">
                  <c:v>9.4888022632506814</c:v>
                </c:pt>
                <c:pt idx="8">
                  <c:v>9.9770789344373405</c:v>
                </c:pt>
                <c:pt idx="9">
                  <c:v>8.1012540025943593</c:v>
                </c:pt>
                <c:pt idx="10">
                  <c:v>7.1414284285428504</c:v>
                </c:pt>
                <c:pt idx="11">
                  <c:v>-7.1414284285428504</c:v>
                </c:pt>
                <c:pt idx="12">
                  <c:v>0</c:v>
                </c:pt>
                <c:pt idx="13">
                  <c:v>-9.1164930988617154</c:v>
                </c:pt>
                <c:pt idx="14">
                  <c:v>-4.1261104565317668</c:v>
                </c:pt>
                <c:pt idx="15">
                  <c:v>-9.4888022632506814</c:v>
                </c:pt>
                <c:pt idx="16">
                  <c:v>-10</c:v>
                </c:pt>
                <c:pt idx="17">
                  <c:v>-9.1164930988617154</c:v>
                </c:pt>
                <c:pt idx="18">
                  <c:v>-7.1414284285428504</c:v>
                </c:pt>
                <c:pt idx="19">
                  <c:v>-9.1164930988617154</c:v>
                </c:pt>
              </c:numCache>
            </c:numRef>
          </c:yVal>
          <c:smooth val="0"/>
        </c:ser>
        <c:ser>
          <c:idx val="1"/>
          <c:order val="3"/>
          <c:tx>
            <c:v>Y² = r² - X²</c:v>
          </c:tx>
          <c:spPr>
            <a:ln w="28575">
              <a:noFill/>
            </a:ln>
          </c:spPr>
          <c:marker>
            <c:symbol val="x"/>
            <c:size val="9"/>
            <c:spPr>
              <a:ln w="25400">
                <a:solidFill>
                  <a:srgbClr val="D6DDD6"/>
                </a:solidFill>
              </a:ln>
            </c:spPr>
          </c:marker>
          <c:xVal>
            <c:numRef>
              <c:f>Testing!$AQ$24:$AQ$43</c:f>
              <c:numCache>
                <c:formatCode>General</c:formatCode>
                <c:ptCount val="20"/>
                <c:pt idx="0">
                  <c:v>9</c:v>
                </c:pt>
                <c:pt idx="1">
                  <c:v>-1</c:v>
                </c:pt>
                <c:pt idx="2">
                  <c:v>0</c:v>
                </c:pt>
                <c:pt idx="3">
                  <c:v>-7</c:v>
                </c:pt>
                <c:pt idx="4">
                  <c:v>8</c:v>
                </c:pt>
                <c:pt idx="5">
                  <c:v>9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-6</c:v>
                </c:pt>
                <c:pt idx="10">
                  <c:v>-7</c:v>
                </c:pt>
                <c:pt idx="11">
                  <c:v>-7</c:v>
                </c:pt>
                <c:pt idx="12">
                  <c:v>10</c:v>
                </c:pt>
                <c:pt idx="13">
                  <c:v>4</c:v>
                </c:pt>
                <c:pt idx="14">
                  <c:v>-9</c:v>
                </c:pt>
                <c:pt idx="15">
                  <c:v>3</c:v>
                </c:pt>
                <c:pt idx="16">
                  <c:v>0</c:v>
                </c:pt>
                <c:pt idx="17">
                  <c:v>4</c:v>
                </c:pt>
                <c:pt idx="18">
                  <c:v>-7</c:v>
                </c:pt>
                <c:pt idx="19">
                  <c:v>4</c:v>
                </c:pt>
              </c:numCache>
            </c:numRef>
          </c:xVal>
          <c:yVal>
            <c:numRef>
              <c:f>Testing!$AS$24:$AS$43</c:f>
              <c:numCache>
                <c:formatCode>General</c:formatCode>
                <c:ptCount val="20"/>
                <c:pt idx="0">
                  <c:v>4.358898943540674</c:v>
                </c:pt>
                <c:pt idx="1">
                  <c:v>9.9498743710661994</c:v>
                </c:pt>
                <c:pt idx="2">
                  <c:v>10</c:v>
                </c:pt>
                <c:pt idx="3">
                  <c:v>7.1414284285428504</c:v>
                </c:pt>
                <c:pt idx="4">
                  <c:v>6</c:v>
                </c:pt>
                <c:pt idx="5">
                  <c:v>4.358898943540674</c:v>
                </c:pt>
                <c:pt idx="6">
                  <c:v>10</c:v>
                </c:pt>
                <c:pt idx="7">
                  <c:v>9.5393920141694561</c:v>
                </c:pt>
                <c:pt idx="8">
                  <c:v>9.9498743710661994</c:v>
                </c:pt>
                <c:pt idx="9">
                  <c:v>8</c:v>
                </c:pt>
                <c:pt idx="10">
                  <c:v>7.1414284285428504</c:v>
                </c:pt>
                <c:pt idx="11">
                  <c:v>-7.1414284285428504</c:v>
                </c:pt>
                <c:pt idx="12">
                  <c:v>0</c:v>
                </c:pt>
                <c:pt idx="13">
                  <c:v>-9.1651513899116797</c:v>
                </c:pt>
                <c:pt idx="14">
                  <c:v>-4.358898943540674</c:v>
                </c:pt>
                <c:pt idx="15">
                  <c:v>-9.5393920141694561</c:v>
                </c:pt>
                <c:pt idx="16">
                  <c:v>-10</c:v>
                </c:pt>
                <c:pt idx="17">
                  <c:v>-9.1651513899116797</c:v>
                </c:pt>
                <c:pt idx="18">
                  <c:v>-7.1414284285428504</c:v>
                </c:pt>
                <c:pt idx="19">
                  <c:v>-9.1651513899116797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77056"/>
        <c:axId val="146478976"/>
      </c:scatterChart>
      <c:scatterChart>
        <c:scatterStyle val="smoothMarker"/>
        <c:varyColors val="0"/>
        <c:ser>
          <c:idx val="0"/>
          <c:order val="0"/>
          <c:tx>
            <c:v>Raw data and Excel fit, upper half of Cartesian circle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Testing!$AO$24:$AO$34</c:f>
              <c:numCache>
                <c:formatCode>General</c:formatCode>
                <c:ptCount val="11"/>
                <c:pt idx="0">
                  <c:v>-10</c:v>
                </c:pt>
                <c:pt idx="1">
                  <c:v>-9.5</c:v>
                </c:pt>
                <c:pt idx="2">
                  <c:v>-7</c:v>
                </c:pt>
                <c:pt idx="3">
                  <c:v>-5</c:v>
                </c:pt>
                <c:pt idx="4">
                  <c:v>-2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7</c:v>
                </c:pt>
                <c:pt idx="9">
                  <c:v>9.5</c:v>
                </c:pt>
                <c:pt idx="10">
                  <c:v>10</c:v>
                </c:pt>
              </c:numCache>
            </c:numRef>
          </c:xVal>
          <c:yVal>
            <c:numRef>
              <c:f>Testing!$AP$24:$AP$34</c:f>
              <c:numCache>
                <c:formatCode>General</c:formatCode>
                <c:ptCount val="11"/>
                <c:pt idx="0">
                  <c:v>0</c:v>
                </c:pt>
                <c:pt idx="1">
                  <c:v>3.1224989991991992</c:v>
                </c:pt>
                <c:pt idx="2">
                  <c:v>7.1414284285428504</c:v>
                </c:pt>
                <c:pt idx="3">
                  <c:v>8.6602540378443873</c:v>
                </c:pt>
                <c:pt idx="4">
                  <c:v>9.7979589711327115</c:v>
                </c:pt>
                <c:pt idx="5">
                  <c:v>10</c:v>
                </c:pt>
                <c:pt idx="6">
                  <c:v>9.7979589711327115</c:v>
                </c:pt>
                <c:pt idx="7">
                  <c:v>8.6602540378443873</c:v>
                </c:pt>
                <c:pt idx="8">
                  <c:v>7.1414284285428504</c:v>
                </c:pt>
                <c:pt idx="9">
                  <c:v>3.1224989991991992</c:v>
                </c:pt>
                <c:pt idx="10">
                  <c:v>0</c:v>
                </c:pt>
              </c:numCache>
            </c:numRef>
          </c:yVal>
          <c:smooth val="1"/>
        </c:ser>
        <c:ser>
          <c:idx val="2"/>
          <c:order val="1"/>
          <c:tx>
            <c:v>Raw data and Excel fit, lower half of Cartesian circle</c:v>
          </c:tx>
          <c:spPr>
            <a:ln>
              <a:solidFill>
                <a:srgbClr val="006B77"/>
              </a:solidFill>
            </a:ln>
          </c:spPr>
          <c:marker>
            <c:symbol val="diamond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Testing!$AO$35:$AO$45</c:f>
              <c:numCache>
                <c:formatCode>General</c:formatCode>
                <c:ptCount val="11"/>
                <c:pt idx="0">
                  <c:v>-10</c:v>
                </c:pt>
                <c:pt idx="1">
                  <c:v>-9.5</c:v>
                </c:pt>
                <c:pt idx="2">
                  <c:v>-7</c:v>
                </c:pt>
                <c:pt idx="3">
                  <c:v>-5</c:v>
                </c:pt>
                <c:pt idx="4">
                  <c:v>-2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7</c:v>
                </c:pt>
                <c:pt idx="9">
                  <c:v>9.5</c:v>
                </c:pt>
                <c:pt idx="10">
                  <c:v>10</c:v>
                </c:pt>
              </c:numCache>
            </c:numRef>
          </c:xVal>
          <c:yVal>
            <c:numRef>
              <c:f>Testing!$AP$35:$AP$45</c:f>
              <c:numCache>
                <c:formatCode>General</c:formatCode>
                <c:ptCount val="11"/>
                <c:pt idx="0">
                  <c:v>0</c:v>
                </c:pt>
                <c:pt idx="1">
                  <c:v>-3.1224989991991992</c:v>
                </c:pt>
                <c:pt idx="2">
                  <c:v>-7.1414284285428504</c:v>
                </c:pt>
                <c:pt idx="3">
                  <c:v>-8.6602540378443873</c:v>
                </c:pt>
                <c:pt idx="4">
                  <c:v>-9.7979589711327115</c:v>
                </c:pt>
                <c:pt idx="5">
                  <c:v>-10</c:v>
                </c:pt>
                <c:pt idx="6">
                  <c:v>-9.7979589711327115</c:v>
                </c:pt>
                <c:pt idx="7">
                  <c:v>-8.6602540378443873</c:v>
                </c:pt>
                <c:pt idx="8">
                  <c:v>-7.1414284285428504</c:v>
                </c:pt>
                <c:pt idx="9">
                  <c:v>-3.1224989991991992</c:v>
                </c:pt>
                <c:pt idx="1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77056"/>
        <c:axId val="146478976"/>
      </c:scatterChart>
      <c:valAx>
        <c:axId val="14647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6478976"/>
        <c:crosses val="autoZero"/>
        <c:crossBetween val="midCat"/>
      </c:valAx>
      <c:valAx>
        <c:axId val="14647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crossAx val="1464770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16" fmlaLink="$B$7" max="30000" page="10" val="3"/>
</file>

<file path=xl/ctrlProps/ctrlProp2.xml><?xml version="1.0" encoding="utf-8"?>
<formControlPr xmlns="http://schemas.microsoft.com/office/spreadsheetml/2009/9/main" objectType="Spin" dx="16" fmlaLink="$B$8" max="30000" page="10" val="7"/>
</file>

<file path=xl/ctrlProps/ctrlProp3.xml><?xml version="1.0" encoding="utf-8"?>
<formControlPr xmlns="http://schemas.microsoft.com/office/spreadsheetml/2009/9/main" objectType="Spin" dx="16" fmlaLink="$B$9" max="30000" page="10" val="10"/>
</file>

<file path=xl/ctrlProps/ctrlProp4.xml><?xml version="1.0" encoding="utf-8"?>
<formControlPr xmlns="http://schemas.microsoft.com/office/spreadsheetml/2009/9/main" objectType="Spin" dx="16" fmlaLink="$B$10" max="30000" page="10" val="13"/>
</file>

<file path=xl/ctrlProps/ctrlProp5.xml><?xml version="1.0" encoding="utf-8"?>
<formControlPr xmlns="http://schemas.microsoft.com/office/spreadsheetml/2009/9/main" objectType="Spin" dx="16" fmlaLink="$B$11" max="30000" page="10" val="21"/>
</file>

<file path=xl/ctrlProps/ctrlProp6.xml><?xml version="1.0" encoding="utf-8"?>
<formControlPr xmlns="http://schemas.microsoft.com/office/spreadsheetml/2009/9/main" objectType="Spin" dx="16" fmlaLink="$D$7" max="30000" page="10" val="2"/>
</file>

<file path=xl/ctrlProps/ctrlProp7.xml><?xml version="1.0" encoding="utf-8"?>
<formControlPr xmlns="http://schemas.microsoft.com/office/spreadsheetml/2009/9/main" objectType="Spin" dx="16" fmlaLink="$D$8" max="30000" page="10" val="7"/>
</file>

<file path=xl/ctrlProps/ctrlProp8.xml><?xml version="1.0" encoding="utf-8"?>
<formControlPr xmlns="http://schemas.microsoft.com/office/spreadsheetml/2009/9/main" objectType="Spin" dx="16" fmlaLink="$D$9" max="30000" page="10"/>
</file>

<file path=xl/ctrlProps/ctrlProp9.xml><?xml version="1.0" encoding="utf-8"?>
<formControlPr xmlns="http://schemas.microsoft.com/office/spreadsheetml/2009/9/main" objectType="Spin" dx="16" fmlaLink="$D$10" max="30000" page="10" val="7"/>
</file>

<file path=xl/ctrlProps/ctrlProp10.xml><?xml version="1.0" encoding="utf-8"?>
<formControlPr xmlns="http://schemas.microsoft.com/office/spreadsheetml/2009/9/main" objectType="Spin" dx="16" fmlaLink="$D$11" max="30000" page="10" val="2"/>
</file>

<file path=xl/ctrlProps/ctrlProp11.xml><?xml version="1.0" encoding="utf-8"?>
<formControlPr xmlns="http://schemas.microsoft.com/office/spreadsheetml/2009/9/main" objectType="Spin" dx="16" fmlaLink="$B$7" max="30000" page="10" val="4"/>
</file>

<file path=xl/ctrlProps/ctrlProp12.xml><?xml version="1.0" encoding="utf-8"?>
<formControlPr xmlns="http://schemas.microsoft.com/office/spreadsheetml/2009/9/main" objectType="Spin" dx="16" fmlaLink="$B$8" max="30000" page="10" val="8"/>
</file>

<file path=xl/ctrlProps/ctrlProp13.xml><?xml version="1.0" encoding="utf-8"?>
<formControlPr xmlns="http://schemas.microsoft.com/office/spreadsheetml/2009/9/main" objectType="Spin" dx="16" fmlaLink="$B$9" max="30000" page="10" val="10"/>
</file>

<file path=xl/ctrlProps/ctrlProp14.xml><?xml version="1.0" encoding="utf-8"?>
<formControlPr xmlns="http://schemas.microsoft.com/office/spreadsheetml/2009/9/main" objectType="Spin" dx="16" fmlaLink="$B$10" max="30000" page="10" val="12"/>
</file>

<file path=xl/ctrlProps/ctrlProp15.xml><?xml version="1.0" encoding="utf-8"?>
<formControlPr xmlns="http://schemas.microsoft.com/office/spreadsheetml/2009/9/main" objectType="Spin" dx="16" fmlaLink="$D$7" max="30000" page="10" val="2"/>
</file>

<file path=xl/ctrlProps/ctrlProp16.xml><?xml version="1.0" encoding="utf-8"?>
<formControlPr xmlns="http://schemas.microsoft.com/office/spreadsheetml/2009/9/main" objectType="Spin" dx="16" fmlaLink="$D$8" max="30000" page="10" val="10"/>
</file>

<file path=xl/ctrlProps/ctrlProp17.xml><?xml version="1.0" encoding="utf-8"?>
<formControlPr xmlns="http://schemas.microsoft.com/office/spreadsheetml/2009/9/main" objectType="Spin" dx="16" fmlaLink="$D$9" max="30000" page="10" val="4"/>
</file>

<file path=xl/ctrlProps/ctrlProp18.xml><?xml version="1.0" encoding="utf-8"?>
<formControlPr xmlns="http://schemas.microsoft.com/office/spreadsheetml/2009/9/main" objectType="Spin" dx="16" fmlaLink="$D$10" max="30000" page="10" val="14"/>
</file>

<file path=xl/ctrlProps/ctrlProp19.xml><?xml version="1.0" encoding="utf-8"?>
<formControlPr xmlns="http://schemas.microsoft.com/office/spreadsheetml/2009/9/main" objectType="Spin" dx="16" fmlaLink="$D$11" max="30000" page="10" val="2"/>
</file>

<file path=xl/ctrlProps/ctrlProp20.xml><?xml version="1.0" encoding="utf-8"?>
<formControlPr xmlns="http://schemas.microsoft.com/office/spreadsheetml/2009/9/main" objectType="Spin" dx="16" fmlaLink="$B$11" max="30000" page="10" val="16"/>
</file>

<file path=xl/ctrlProps/ctrlProp21.xml><?xml version="1.0" encoding="utf-8"?>
<formControlPr xmlns="http://schemas.microsoft.com/office/spreadsheetml/2009/9/main" objectType="Spin" dx="16" fmlaLink="$B$12" max="30000" page="10" val="20"/>
</file>

<file path=xl/ctrlProps/ctrlProp22.xml><?xml version="1.0" encoding="utf-8"?>
<formControlPr xmlns="http://schemas.microsoft.com/office/spreadsheetml/2009/9/main" objectType="Spin" dx="16" fmlaLink="$B$13" max="30000" page="10" val="23"/>
</file>

<file path=xl/ctrlProps/ctrlProp23.xml><?xml version="1.0" encoding="utf-8"?>
<formControlPr xmlns="http://schemas.microsoft.com/office/spreadsheetml/2009/9/main" objectType="Spin" dx="16" fmlaLink="$D$12" max="30000" page="10" val="4"/>
</file>

<file path=xl/ctrlProps/ctrlProp24.xml><?xml version="1.0" encoding="utf-8"?>
<formControlPr xmlns="http://schemas.microsoft.com/office/spreadsheetml/2009/9/main" objectType="Spin" dx="16" fmlaLink="$D$13" max="30000" page="10" val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</xdr:row>
          <xdr:rowOff>0</xdr:rowOff>
        </xdr:from>
        <xdr:to>
          <xdr:col>0</xdr:col>
          <xdr:colOff>171450</xdr:colOff>
          <xdr:row>6</xdr:row>
          <xdr:rowOff>276225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</xdr:row>
          <xdr:rowOff>0</xdr:rowOff>
        </xdr:from>
        <xdr:to>
          <xdr:col>0</xdr:col>
          <xdr:colOff>171450</xdr:colOff>
          <xdr:row>7</xdr:row>
          <xdr:rowOff>276225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8</xdr:row>
          <xdr:rowOff>0</xdr:rowOff>
        </xdr:from>
        <xdr:to>
          <xdr:col>0</xdr:col>
          <xdr:colOff>171450</xdr:colOff>
          <xdr:row>8</xdr:row>
          <xdr:rowOff>276225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9</xdr:row>
          <xdr:rowOff>0</xdr:rowOff>
        </xdr:from>
        <xdr:to>
          <xdr:col>0</xdr:col>
          <xdr:colOff>171450</xdr:colOff>
          <xdr:row>9</xdr:row>
          <xdr:rowOff>276225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0</xdr:rowOff>
        </xdr:from>
        <xdr:to>
          <xdr:col>0</xdr:col>
          <xdr:colOff>171450</xdr:colOff>
          <xdr:row>10</xdr:row>
          <xdr:rowOff>276225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6</xdr:row>
          <xdr:rowOff>0</xdr:rowOff>
        </xdr:from>
        <xdr:to>
          <xdr:col>2</xdr:col>
          <xdr:colOff>171450</xdr:colOff>
          <xdr:row>6</xdr:row>
          <xdr:rowOff>276225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0</xdr:rowOff>
        </xdr:from>
        <xdr:to>
          <xdr:col>2</xdr:col>
          <xdr:colOff>171450</xdr:colOff>
          <xdr:row>7</xdr:row>
          <xdr:rowOff>276225</xdr:rowOff>
        </xdr:to>
        <xdr:sp macro="" textlink="">
          <xdr:nvSpPr>
            <xdr:cNvPr id="1031" name="Spinne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8</xdr:row>
          <xdr:rowOff>0</xdr:rowOff>
        </xdr:from>
        <xdr:to>
          <xdr:col>2</xdr:col>
          <xdr:colOff>171450</xdr:colOff>
          <xdr:row>8</xdr:row>
          <xdr:rowOff>276225</xdr:rowOff>
        </xdr:to>
        <xdr:sp macro="" textlink="">
          <xdr:nvSpPr>
            <xdr:cNvPr id="1032" name="Spinner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</xdr:row>
          <xdr:rowOff>0</xdr:rowOff>
        </xdr:from>
        <xdr:to>
          <xdr:col>2</xdr:col>
          <xdr:colOff>171450</xdr:colOff>
          <xdr:row>9</xdr:row>
          <xdr:rowOff>276225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10</xdr:row>
          <xdr:rowOff>0</xdr:rowOff>
        </xdr:from>
        <xdr:to>
          <xdr:col>2</xdr:col>
          <xdr:colOff>171450</xdr:colOff>
          <xdr:row>10</xdr:row>
          <xdr:rowOff>276225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4</xdr:row>
      <xdr:rowOff>190499</xdr:rowOff>
    </xdr:from>
    <xdr:to>
      <xdr:col>16</xdr:col>
      <xdr:colOff>91440</xdr:colOff>
      <xdr:row>16</xdr:row>
      <xdr:rowOff>276224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95250</xdr:rowOff>
    </xdr:from>
    <xdr:to>
      <xdr:col>16</xdr:col>
      <xdr:colOff>91440</xdr:colOff>
      <xdr:row>4</xdr:row>
      <xdr:rowOff>99822</xdr:rowOff>
    </xdr:to>
    <xdr:sp macro="" textlink="">
      <xdr:nvSpPr>
        <xdr:cNvPr id="14" name="TextBox 13"/>
        <xdr:cNvSpPr txBox="1"/>
      </xdr:nvSpPr>
      <xdr:spPr>
        <a:xfrm>
          <a:off x="4829175" y="428625"/>
          <a:ext cx="5577840" cy="576072"/>
        </a:xfrm>
        <a:prstGeom prst="rect">
          <a:avLst/>
        </a:prstGeom>
        <a:solidFill>
          <a:schemeClr val="lt1"/>
        </a:solidFill>
        <a:ln w="38100" cmpd="sng">
          <a:solidFill>
            <a:srgbClr val="D6CEA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Syntax</a:t>
          </a:r>
        </a:p>
        <a:p>
          <a:pPr algn="l"/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Bezier(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KnownXValues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KnownYValues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XToInterpolate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en-GB" sz="1400"/>
            <a:t>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95250</xdr:rowOff>
    </xdr:from>
    <xdr:to>
      <xdr:col>14</xdr:col>
      <xdr:colOff>91440</xdr:colOff>
      <xdr:row>4</xdr:row>
      <xdr:rowOff>99822</xdr:rowOff>
    </xdr:to>
    <xdr:sp macro="" textlink="">
      <xdr:nvSpPr>
        <xdr:cNvPr id="3" name="TextBox 2"/>
        <xdr:cNvSpPr txBox="1"/>
      </xdr:nvSpPr>
      <xdr:spPr>
        <a:xfrm>
          <a:off x="5257800" y="5095875"/>
          <a:ext cx="5577840" cy="576072"/>
        </a:xfrm>
        <a:prstGeom prst="rect">
          <a:avLst/>
        </a:prstGeom>
        <a:solidFill>
          <a:schemeClr val="lt1"/>
        </a:solidFill>
        <a:ln w="38100" cmpd="sng">
          <a:solidFill>
            <a:srgbClr val="D6CEA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Syntax</a:t>
          </a:r>
        </a:p>
        <a:p>
          <a:pPr algn="l"/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Bezier(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KnownXValues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KnownYValues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XToInterpolate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[</a:t>
          </a:r>
          <a:r>
            <a:rPr lang="en-GB" sz="1400" b="1" i="1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en-GB" sz="14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extrapolate])</a:t>
          </a:r>
          <a:r>
            <a:rPr lang="en-GB" sz="1400"/>
            <a:t> 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14</xdr:col>
      <xdr:colOff>91440</xdr:colOff>
      <xdr:row>22</xdr:row>
      <xdr:rowOff>89916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6</xdr:row>
          <xdr:rowOff>0</xdr:rowOff>
        </xdr:from>
        <xdr:to>
          <xdr:col>0</xdr:col>
          <xdr:colOff>171450</xdr:colOff>
          <xdr:row>6</xdr:row>
          <xdr:rowOff>276225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7</xdr:row>
          <xdr:rowOff>0</xdr:rowOff>
        </xdr:from>
        <xdr:to>
          <xdr:col>0</xdr:col>
          <xdr:colOff>171450</xdr:colOff>
          <xdr:row>7</xdr:row>
          <xdr:rowOff>276225</xdr:rowOff>
        </xdr:to>
        <xdr:sp macro="" textlink="">
          <xdr:nvSpPr>
            <xdr:cNvPr id="3074" name="Spinner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8</xdr:row>
          <xdr:rowOff>0</xdr:rowOff>
        </xdr:from>
        <xdr:to>
          <xdr:col>0</xdr:col>
          <xdr:colOff>171450</xdr:colOff>
          <xdr:row>8</xdr:row>
          <xdr:rowOff>276225</xdr:rowOff>
        </xdr:to>
        <xdr:sp macro="" textlink="">
          <xdr:nvSpPr>
            <xdr:cNvPr id="3075" name="Spinner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9</xdr:row>
          <xdr:rowOff>0</xdr:rowOff>
        </xdr:from>
        <xdr:to>
          <xdr:col>0</xdr:col>
          <xdr:colOff>171450</xdr:colOff>
          <xdr:row>9</xdr:row>
          <xdr:rowOff>276225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6</xdr:row>
          <xdr:rowOff>0</xdr:rowOff>
        </xdr:from>
        <xdr:to>
          <xdr:col>2</xdr:col>
          <xdr:colOff>171450</xdr:colOff>
          <xdr:row>6</xdr:row>
          <xdr:rowOff>276225</xdr:rowOff>
        </xdr:to>
        <xdr:sp macro="" textlink="">
          <xdr:nvSpPr>
            <xdr:cNvPr id="3078" name="Spinner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7</xdr:row>
          <xdr:rowOff>0</xdr:rowOff>
        </xdr:from>
        <xdr:to>
          <xdr:col>2</xdr:col>
          <xdr:colOff>171450</xdr:colOff>
          <xdr:row>7</xdr:row>
          <xdr:rowOff>276225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8</xdr:row>
          <xdr:rowOff>0</xdr:rowOff>
        </xdr:from>
        <xdr:to>
          <xdr:col>2</xdr:col>
          <xdr:colOff>171450</xdr:colOff>
          <xdr:row>8</xdr:row>
          <xdr:rowOff>276225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9</xdr:row>
          <xdr:rowOff>0</xdr:rowOff>
        </xdr:from>
        <xdr:to>
          <xdr:col>2</xdr:col>
          <xdr:colOff>171450</xdr:colOff>
          <xdr:row>9</xdr:row>
          <xdr:rowOff>276225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10</xdr:row>
          <xdr:rowOff>0</xdr:rowOff>
        </xdr:from>
        <xdr:to>
          <xdr:col>2</xdr:col>
          <xdr:colOff>171450</xdr:colOff>
          <xdr:row>10</xdr:row>
          <xdr:rowOff>276225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5</xdr:row>
      <xdr:rowOff>0</xdr:rowOff>
    </xdr:from>
    <xdr:to>
      <xdr:col>16</xdr:col>
      <xdr:colOff>91440</xdr:colOff>
      <xdr:row>18</xdr:row>
      <xdr:rowOff>185166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95250</xdr:rowOff>
    </xdr:from>
    <xdr:to>
      <xdr:col>16</xdr:col>
      <xdr:colOff>91440</xdr:colOff>
      <xdr:row>4</xdr:row>
      <xdr:rowOff>99822</xdr:rowOff>
    </xdr:to>
    <xdr:sp macro="" textlink="">
      <xdr:nvSpPr>
        <xdr:cNvPr id="16" name="TextBox 15"/>
        <xdr:cNvSpPr txBox="1"/>
      </xdr:nvSpPr>
      <xdr:spPr>
        <a:xfrm>
          <a:off x="4972050" y="428625"/>
          <a:ext cx="5577840" cy="576072"/>
        </a:xfrm>
        <a:prstGeom prst="rect">
          <a:avLst/>
        </a:prstGeom>
        <a:solidFill>
          <a:schemeClr val="lt1"/>
        </a:solidFill>
        <a:ln w="38100" cmpd="sng">
          <a:solidFill>
            <a:srgbClr val="D6CEA3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Syntax</a:t>
          </a:r>
        </a:p>
        <a:p>
          <a:pPr algn="l"/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Linerp(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KnownXValues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KnownYValues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400" b="1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XToInterpolate</a:t>
          </a:r>
          <a:r>
            <a:rPr lang="en-GB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en-GB" sz="1400"/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0</xdr:rowOff>
        </xdr:from>
        <xdr:to>
          <xdr:col>0</xdr:col>
          <xdr:colOff>171450</xdr:colOff>
          <xdr:row>10</xdr:row>
          <xdr:rowOff>276225</xdr:rowOff>
        </xdr:to>
        <xdr:sp macro="" textlink="">
          <xdr:nvSpPr>
            <xdr:cNvPr id="3085" name="Spinner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0</xdr:rowOff>
        </xdr:from>
        <xdr:to>
          <xdr:col>0</xdr:col>
          <xdr:colOff>171450</xdr:colOff>
          <xdr:row>11</xdr:row>
          <xdr:rowOff>276225</xdr:rowOff>
        </xdr:to>
        <xdr:sp macro="" textlink="">
          <xdr:nvSpPr>
            <xdr:cNvPr id="3086" name="Spinner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12</xdr:row>
          <xdr:rowOff>0</xdr:rowOff>
        </xdr:from>
        <xdr:to>
          <xdr:col>0</xdr:col>
          <xdr:colOff>171450</xdr:colOff>
          <xdr:row>12</xdr:row>
          <xdr:rowOff>276225</xdr:rowOff>
        </xdr:to>
        <xdr:sp macro="" textlink="">
          <xdr:nvSpPr>
            <xdr:cNvPr id="3087" name="Spinner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11</xdr:row>
          <xdr:rowOff>0</xdr:rowOff>
        </xdr:from>
        <xdr:to>
          <xdr:col>2</xdr:col>
          <xdr:colOff>171450</xdr:colOff>
          <xdr:row>11</xdr:row>
          <xdr:rowOff>276225</xdr:rowOff>
        </xdr:to>
        <xdr:sp macro="" textlink="">
          <xdr:nvSpPr>
            <xdr:cNvPr id="3088" name="Spinner 16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12</xdr:row>
          <xdr:rowOff>0</xdr:rowOff>
        </xdr:from>
        <xdr:to>
          <xdr:col>2</xdr:col>
          <xdr:colOff>171450</xdr:colOff>
          <xdr:row>12</xdr:row>
          <xdr:rowOff>276225</xdr:rowOff>
        </xdr:to>
        <xdr:sp macro="" textlink="">
          <xdr:nvSpPr>
            <xdr:cNvPr id="3089" name="Spinner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15</xdr:col>
      <xdr:colOff>1143</xdr:colOff>
      <xdr:row>20</xdr:row>
      <xdr:rowOff>181356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3</xdr:row>
      <xdr:rowOff>0</xdr:rowOff>
    </xdr:from>
    <xdr:to>
      <xdr:col>22</xdr:col>
      <xdr:colOff>746760</xdr:colOff>
      <xdr:row>20</xdr:row>
      <xdr:rowOff>181356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3</xdr:row>
      <xdr:rowOff>0</xdr:rowOff>
    </xdr:from>
    <xdr:to>
      <xdr:col>30</xdr:col>
      <xdr:colOff>746760</xdr:colOff>
      <xdr:row>20</xdr:row>
      <xdr:rowOff>181356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3</xdr:row>
      <xdr:rowOff>0</xdr:rowOff>
    </xdr:from>
    <xdr:to>
      <xdr:col>38</xdr:col>
      <xdr:colOff>737616</xdr:colOff>
      <xdr:row>20</xdr:row>
      <xdr:rowOff>181356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</xdr:row>
      <xdr:rowOff>0</xdr:rowOff>
    </xdr:from>
    <xdr:to>
      <xdr:col>6</xdr:col>
      <xdr:colOff>742950</xdr:colOff>
      <xdr:row>20</xdr:row>
      <xdr:rowOff>181356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0</xdr:colOff>
      <xdr:row>3</xdr:row>
      <xdr:rowOff>0</xdr:rowOff>
    </xdr:from>
    <xdr:to>
      <xdr:col>46</xdr:col>
      <xdr:colOff>737616</xdr:colOff>
      <xdr:row>20</xdr:row>
      <xdr:rowOff>181356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4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5" Type="http://schemas.openxmlformats.org/officeDocument/2006/relationships/ctrlProp" Target="../ctrlProps/ctrlProp2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5"/>
  <sheetViews>
    <sheetView tabSelected="1" workbookViewId="0"/>
  </sheetViews>
  <sheetFormatPr defaultRowHeight="15" x14ac:dyDescent="0.25"/>
  <cols>
    <col min="1" max="1" width="3" style="1" customWidth="1"/>
    <col min="2" max="2" width="14.85546875" style="1" customWidth="1"/>
    <col min="3" max="3" width="3" style="1" customWidth="1"/>
    <col min="4" max="4" width="14.85546875" style="1" customWidth="1"/>
    <col min="5" max="5" width="9.140625" style="1" customWidth="1"/>
    <col min="6" max="6" width="14.85546875" style="1" customWidth="1"/>
    <col min="7" max="7" width="12.7109375" style="1" customWidth="1"/>
    <col min="8" max="16384" width="9.140625" style="1"/>
  </cols>
  <sheetData>
    <row r="1" spans="1:7" s="33" customFormat="1" ht="26.25" x14ac:dyDescent="0.4">
      <c r="A1" s="38" t="s">
        <v>20</v>
      </c>
      <c r="B1" s="38"/>
      <c r="C1" s="38"/>
      <c r="D1" s="38"/>
      <c r="E1" s="38"/>
      <c r="F1" s="38"/>
      <c r="G1" s="38"/>
    </row>
    <row r="2" spans="1:7" s="2" customFormat="1" x14ac:dyDescent="0.25"/>
    <row r="3" spans="1:7" s="2" customFormat="1" x14ac:dyDescent="0.25"/>
    <row r="4" spans="1:7" s="2" customFormat="1" x14ac:dyDescent="0.25"/>
    <row r="5" spans="1:7" x14ac:dyDescent="0.25">
      <c r="A5" s="3"/>
      <c r="B5" s="3"/>
      <c r="C5" s="3"/>
      <c r="D5" s="3"/>
      <c r="E5" s="3"/>
      <c r="F5" s="3"/>
      <c r="G5" s="3"/>
    </row>
    <row r="6" spans="1:7" x14ac:dyDescent="0.25">
      <c r="A6" s="13"/>
      <c r="B6" s="5" t="s">
        <v>0</v>
      </c>
      <c r="C6" s="12"/>
      <c r="D6" s="5" t="s">
        <v>1</v>
      </c>
      <c r="E6" s="6" t="s">
        <v>3</v>
      </c>
      <c r="F6" s="6" t="s">
        <v>2</v>
      </c>
      <c r="G6" s="28"/>
    </row>
    <row r="7" spans="1:7" ht="22.5" customHeight="1" x14ac:dyDescent="0.25">
      <c r="A7" s="13"/>
      <c r="B7" s="4">
        <v>3</v>
      </c>
      <c r="C7" s="13">
        <v>4</v>
      </c>
      <c r="D7" s="4">
        <v>2</v>
      </c>
      <c r="E7" s="7">
        <v>4</v>
      </c>
      <c r="F7" s="7">
        <f>Bezier($B$7:$B$11,$D$7:$D$11,E7)</f>
        <v>3.5809230769230775</v>
      </c>
      <c r="G7" s="11"/>
    </row>
    <row r="8" spans="1:7" ht="22.5" customHeight="1" x14ac:dyDescent="0.25">
      <c r="A8" s="13"/>
      <c r="B8" s="4">
        <v>7</v>
      </c>
      <c r="C8" s="13">
        <v>6</v>
      </c>
      <c r="D8" s="4">
        <v>7</v>
      </c>
      <c r="E8" s="7">
        <v>5</v>
      </c>
      <c r="F8" s="7">
        <f t="shared" ref="F8:F17" si="0">Bezier($B$7:$B$11,$D$7:$D$11,E8)</f>
        <v>5.146524064171123</v>
      </c>
      <c r="G8" s="11"/>
    </row>
    <row r="9" spans="1:7" ht="22.5" customHeight="1" x14ac:dyDescent="0.25">
      <c r="A9" s="13"/>
      <c r="B9" s="4">
        <v>10</v>
      </c>
      <c r="C9" s="13">
        <v>7</v>
      </c>
      <c r="D9" s="4">
        <v>1</v>
      </c>
      <c r="E9" s="7">
        <v>6</v>
      </c>
      <c r="F9" s="7">
        <f t="shared" si="0"/>
        <v>6.4149392265193361</v>
      </c>
      <c r="G9" s="11"/>
    </row>
    <row r="10" spans="1:7" ht="22.5" customHeight="1" x14ac:dyDescent="0.25">
      <c r="A10" s="13"/>
      <c r="B10" s="4">
        <v>13</v>
      </c>
      <c r="C10" s="13">
        <v>9</v>
      </c>
      <c r="D10" s="4">
        <v>7</v>
      </c>
      <c r="E10" s="7">
        <v>8</v>
      </c>
      <c r="F10" s="7">
        <f t="shared" si="0"/>
        <v>5.5581909547738633</v>
      </c>
      <c r="G10" s="11"/>
    </row>
    <row r="11" spans="1:7" ht="22.5" customHeight="1" x14ac:dyDescent="0.25">
      <c r="A11" s="13"/>
      <c r="B11" s="4">
        <v>21</v>
      </c>
      <c r="C11" s="13"/>
      <c r="D11" s="4">
        <v>2</v>
      </c>
      <c r="E11" s="7">
        <v>9</v>
      </c>
      <c r="F11" s="7">
        <f t="shared" si="0"/>
        <v>2.6353439153439178</v>
      </c>
      <c r="G11" s="11"/>
    </row>
    <row r="12" spans="1:7" ht="22.5" customHeight="1" x14ac:dyDescent="0.25">
      <c r="A12" s="3"/>
      <c r="B12" s="3"/>
      <c r="C12" s="3"/>
      <c r="D12" s="3"/>
      <c r="E12" s="7">
        <v>10</v>
      </c>
      <c r="F12" s="7">
        <f t="shared" si="0"/>
        <v>1</v>
      </c>
      <c r="G12" s="11"/>
    </row>
    <row r="13" spans="1:7" ht="22.5" customHeight="1" x14ac:dyDescent="0.25">
      <c r="A13" s="3"/>
      <c r="B13" s="3"/>
      <c r="C13" s="3"/>
      <c r="D13" s="3"/>
      <c r="E13" s="7">
        <v>12</v>
      </c>
      <c r="F13" s="7">
        <f t="shared" si="0"/>
        <v>6.1551079136690632</v>
      </c>
      <c r="G13" s="11"/>
    </row>
    <row r="14" spans="1:7" ht="22.5" customHeight="1" x14ac:dyDescent="0.25">
      <c r="A14" s="3"/>
      <c r="B14" s="3"/>
      <c r="C14" s="3"/>
      <c r="D14" s="3"/>
      <c r="E14" s="7">
        <v>14</v>
      </c>
      <c r="F14" s="7">
        <f t="shared" si="0"/>
        <v>6.781510652033572</v>
      </c>
      <c r="G14" s="11"/>
    </row>
    <row r="15" spans="1:7" ht="22.5" customHeight="1" x14ac:dyDescent="0.25">
      <c r="A15" s="3"/>
      <c r="B15" s="3"/>
      <c r="C15" s="3"/>
      <c r="D15" s="3"/>
      <c r="E15" s="7">
        <v>16</v>
      </c>
      <c r="F15" s="7">
        <f t="shared" si="0"/>
        <v>5.6948163916977128</v>
      </c>
      <c r="G15" s="11"/>
    </row>
    <row r="16" spans="1:7" ht="22.5" customHeight="1" x14ac:dyDescent="0.25">
      <c r="A16" s="3"/>
      <c r="B16" s="3"/>
      <c r="C16" s="3"/>
      <c r="D16" s="3"/>
      <c r="E16" s="7">
        <v>18</v>
      </c>
      <c r="F16" s="7">
        <f t="shared" si="0"/>
        <v>4.2693726937269396</v>
      </c>
      <c r="G16" s="11"/>
    </row>
    <row r="17" spans="1:7" ht="22.5" customHeight="1" x14ac:dyDescent="0.25">
      <c r="A17" s="3"/>
      <c r="B17" s="3"/>
      <c r="C17" s="3"/>
      <c r="D17" s="3"/>
      <c r="E17" s="7">
        <v>19</v>
      </c>
      <c r="F17" s="7">
        <f t="shared" si="0"/>
        <v>3.5024930128563447</v>
      </c>
      <c r="G17" s="11"/>
    </row>
    <row r="18" spans="1:7" ht="15" customHeight="1" x14ac:dyDescent="0.25">
      <c r="A18" s="3"/>
      <c r="B18" s="3"/>
      <c r="C18" s="3"/>
      <c r="D18" s="3"/>
      <c r="E18" s="11"/>
      <c r="F18" s="11"/>
      <c r="G18" s="11"/>
    </row>
    <row r="19" spans="1:7" x14ac:dyDescent="0.25">
      <c r="A19" s="3"/>
      <c r="B19" s="3"/>
      <c r="C19" s="3"/>
      <c r="D19" s="3"/>
      <c r="E19" s="11"/>
      <c r="F19" s="11"/>
      <c r="G19" s="11"/>
    </row>
    <row r="45" spans="1:1" x14ac:dyDescent="0.25">
      <c r="A45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>
                <anchor moveWithCells="1" sizeWithCells="1">
                  <from>
                    <xdr:col>0</xdr:col>
                    <xdr:colOff>28575</xdr:colOff>
                    <xdr:row>6</xdr:row>
                    <xdr:rowOff>0</xdr:rowOff>
                  </from>
                  <to>
                    <xdr:col>0</xdr:col>
                    <xdr:colOff>171450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0</xdr:col>
                    <xdr:colOff>28575</xdr:colOff>
                    <xdr:row>7</xdr:row>
                    <xdr:rowOff>0</xdr:rowOff>
                  </from>
                  <to>
                    <xdr:col>0</xdr:col>
                    <xdr:colOff>171450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pinner 3">
              <controlPr defaultSize="0" autoPict="0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171450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pinner 4">
              <controlPr defaultSize="0" autoPict="0">
                <anchor moveWithCells="1" sizeWithCells="1">
                  <from>
                    <xdr:col>0</xdr:col>
                    <xdr:colOff>28575</xdr:colOff>
                    <xdr:row>9</xdr:row>
                    <xdr:rowOff>0</xdr:rowOff>
                  </from>
                  <to>
                    <xdr:col>0</xdr:col>
                    <xdr:colOff>171450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pinner 5">
              <controlPr defaultSize="0" autoPict="0">
                <anchor moveWithCells="1" sizeWithCells="1">
                  <from>
                    <xdr:col>0</xdr:col>
                    <xdr:colOff>28575</xdr:colOff>
                    <xdr:row>10</xdr:row>
                    <xdr:rowOff>0</xdr:rowOff>
                  </from>
                  <to>
                    <xdr:col>0</xdr:col>
                    <xdr:colOff>171450</xdr:colOff>
                    <xdr:row>10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Spinner 6">
              <controlPr defaultSize="0" autoPict="0">
                <anchor moveWithCells="1" sizeWithCells="1">
                  <from>
                    <xdr:col>2</xdr:col>
                    <xdr:colOff>28575</xdr:colOff>
                    <xdr:row>6</xdr:row>
                    <xdr:rowOff>0</xdr:rowOff>
                  </from>
                  <to>
                    <xdr:col>2</xdr:col>
                    <xdr:colOff>171450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Spinner 7">
              <controlPr defaultSize="0" autoPict="0">
                <anchor moveWithCells="1" sizeWithCells="1">
                  <from>
                    <xdr:col>2</xdr:col>
                    <xdr:colOff>28575</xdr:colOff>
                    <xdr:row>7</xdr:row>
                    <xdr:rowOff>0</xdr:rowOff>
                  </from>
                  <to>
                    <xdr:col>2</xdr:col>
                    <xdr:colOff>171450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Spinner 8">
              <controlPr defaultSize="0" autoPict="0">
                <anchor moveWithCells="1" sizeWithCells="1">
                  <from>
                    <xdr:col>2</xdr:col>
                    <xdr:colOff>28575</xdr:colOff>
                    <xdr:row>8</xdr:row>
                    <xdr:rowOff>0</xdr:rowOff>
                  </from>
                  <to>
                    <xdr:col>2</xdr:col>
                    <xdr:colOff>171450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Spinner 9">
              <controlPr defaultSize="0" autoPict="0">
                <anchor moveWithCells="1" sizeWithCells="1">
                  <from>
                    <xdr:col>2</xdr:col>
                    <xdr:colOff>28575</xdr:colOff>
                    <xdr:row>9</xdr:row>
                    <xdr:rowOff>0</xdr:rowOff>
                  </from>
                  <to>
                    <xdr:col>2</xdr:col>
                    <xdr:colOff>171450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Spinner 10">
              <controlPr defaultSize="0" autoPict="0">
                <anchor moveWithCells="1" sizeWithCells="1">
                  <from>
                    <xdr:col>2</xdr:col>
                    <xdr:colOff>28575</xdr:colOff>
                    <xdr:row>10</xdr:row>
                    <xdr:rowOff>0</xdr:rowOff>
                  </from>
                  <to>
                    <xdr:col>2</xdr:col>
                    <xdr:colOff>171450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4"/>
  <sheetViews>
    <sheetView workbookViewId="0"/>
  </sheetViews>
  <sheetFormatPr defaultRowHeight="15" x14ac:dyDescent="0.25"/>
  <cols>
    <col min="1" max="2" width="15" customWidth="1"/>
    <col min="3" max="3" width="9.140625" customWidth="1"/>
    <col min="4" max="4" width="14" bestFit="1" customWidth="1"/>
    <col min="5" max="5" width="17.28515625" customWidth="1"/>
  </cols>
  <sheetData>
    <row r="1" spans="1:5" s="33" customFormat="1" ht="26.25" x14ac:dyDescent="0.4">
      <c r="A1" s="37" t="s">
        <v>19</v>
      </c>
      <c r="B1" s="37"/>
      <c r="C1" s="37"/>
      <c r="D1" s="37"/>
      <c r="E1" s="35"/>
    </row>
    <row r="2" spans="1:5" s="2" customFormat="1" x14ac:dyDescent="0.25">
      <c r="A2" s="34"/>
      <c r="B2" s="34"/>
      <c r="C2" s="34"/>
      <c r="D2" s="34"/>
      <c r="E2" s="27"/>
    </row>
    <row r="3" spans="1:5" s="2" customFormat="1" x14ac:dyDescent="0.25">
      <c r="A3" s="34"/>
      <c r="B3" s="34"/>
      <c r="C3" s="34"/>
      <c r="D3" s="34"/>
      <c r="E3" s="27"/>
    </row>
    <row r="4" spans="1:5" s="1" customFormat="1" ht="15" customHeight="1" x14ac:dyDescent="0.4">
      <c r="A4" s="22"/>
      <c r="B4" s="3"/>
      <c r="E4" s="3"/>
    </row>
    <row r="5" spans="1:5" s="1" customFormat="1" x14ac:dyDescent="0.25">
      <c r="A5" s="26"/>
      <c r="B5" s="3"/>
      <c r="E5" s="3"/>
    </row>
    <row r="6" spans="1:5" s="1" customFormat="1" x14ac:dyDescent="0.25">
      <c r="A6" s="5" t="s">
        <v>0</v>
      </c>
      <c r="B6" s="23" t="s">
        <v>1</v>
      </c>
      <c r="C6" s="24" t="s">
        <v>3</v>
      </c>
      <c r="D6" s="24" t="s">
        <v>18</v>
      </c>
      <c r="E6" s="3"/>
    </row>
    <row r="7" spans="1:5" s="1" customFormat="1" x14ac:dyDescent="0.25">
      <c r="A7" s="9">
        <v>-15</v>
      </c>
      <c r="B7" s="8">
        <f t="shared" ref="B7:B13" si="0">A7^2</f>
        <v>225</v>
      </c>
      <c r="C7" s="10">
        <v>-30</v>
      </c>
      <c r="D7" s="10">
        <f>Bezier($A$7:$A$13,$B$7:$B$13,C7,1)</f>
        <v>600</v>
      </c>
    </row>
    <row r="8" spans="1:5" s="1" customFormat="1" x14ac:dyDescent="0.25">
      <c r="A8" s="9">
        <v>-10</v>
      </c>
      <c r="B8" s="8">
        <f t="shared" si="0"/>
        <v>100</v>
      </c>
      <c r="C8" s="10">
        <v>-25</v>
      </c>
      <c r="D8" s="10">
        <f t="shared" ref="D8:D13" si="1">Bezier($A$7:$A$13,$B$7:$B$13,C8,1)</f>
        <v>475</v>
      </c>
    </row>
    <row r="9" spans="1:5" s="1" customFormat="1" x14ac:dyDescent="0.25">
      <c r="A9" s="9">
        <v>-5</v>
      </c>
      <c r="B9" s="8">
        <f t="shared" si="0"/>
        <v>25</v>
      </c>
      <c r="C9" s="10">
        <v>-20</v>
      </c>
      <c r="D9" s="10">
        <f t="shared" si="1"/>
        <v>350</v>
      </c>
    </row>
    <row r="10" spans="1:5" s="1" customFormat="1" x14ac:dyDescent="0.25">
      <c r="A10" s="9">
        <v>0</v>
      </c>
      <c r="B10" s="8">
        <f t="shared" si="0"/>
        <v>0</v>
      </c>
      <c r="C10" s="10">
        <v>0</v>
      </c>
      <c r="D10" s="10">
        <f t="shared" si="1"/>
        <v>0</v>
      </c>
    </row>
    <row r="11" spans="1:5" s="1" customFormat="1" x14ac:dyDescent="0.25">
      <c r="A11" s="9">
        <v>5</v>
      </c>
      <c r="B11" s="8">
        <f t="shared" si="0"/>
        <v>25</v>
      </c>
      <c r="C11" s="10">
        <v>20</v>
      </c>
      <c r="D11" s="10">
        <f t="shared" si="1"/>
        <v>350</v>
      </c>
    </row>
    <row r="12" spans="1:5" s="1" customFormat="1" x14ac:dyDescent="0.25">
      <c r="A12" s="9">
        <v>10</v>
      </c>
      <c r="B12" s="8">
        <f t="shared" si="0"/>
        <v>100</v>
      </c>
      <c r="C12" s="10">
        <v>25</v>
      </c>
      <c r="D12" s="10">
        <f t="shared" si="1"/>
        <v>475</v>
      </c>
    </row>
    <row r="13" spans="1:5" s="1" customFormat="1" x14ac:dyDescent="0.25">
      <c r="A13" s="9">
        <v>15</v>
      </c>
      <c r="B13" s="8">
        <f t="shared" si="0"/>
        <v>225</v>
      </c>
      <c r="C13" s="10">
        <v>30</v>
      </c>
      <c r="D13" s="10">
        <f t="shared" si="1"/>
        <v>600</v>
      </c>
    </row>
    <row r="14" spans="1:5" s="1" customFormat="1" x14ac:dyDescent="0.25">
      <c r="C14" s="25">
        <v>-9</v>
      </c>
      <c r="D14" s="25">
        <f>Bezier($A$7:$A$13,$B$7:$B$13,C14,1)</f>
        <v>80.999999999999986</v>
      </c>
    </row>
    <row r="15" spans="1:5" s="1" customFormat="1" x14ac:dyDescent="0.25">
      <c r="C15" s="25">
        <v>-8</v>
      </c>
      <c r="D15" s="25">
        <f t="shared" ref="D15:D19" si="2">Bezier($A$7:$A$13,$B$7:$B$13,C15,1)</f>
        <v>63.999999999999993</v>
      </c>
    </row>
    <row r="16" spans="1:5" s="1" customFormat="1" x14ac:dyDescent="0.25">
      <c r="C16" s="25">
        <v>-7</v>
      </c>
      <c r="D16" s="25">
        <f t="shared" si="2"/>
        <v>49</v>
      </c>
    </row>
    <row r="17" spans="3:4" s="1" customFormat="1" x14ac:dyDescent="0.25">
      <c r="C17" s="25">
        <v>7</v>
      </c>
      <c r="D17" s="25">
        <f t="shared" si="2"/>
        <v>49</v>
      </c>
    </row>
    <row r="18" spans="3:4" s="1" customFormat="1" x14ac:dyDescent="0.25">
      <c r="C18" s="25">
        <v>8</v>
      </c>
      <c r="D18" s="25">
        <f t="shared" si="2"/>
        <v>64</v>
      </c>
    </row>
    <row r="19" spans="3:4" s="1" customFormat="1" x14ac:dyDescent="0.25">
      <c r="C19" s="25">
        <v>9</v>
      </c>
      <c r="D19" s="25">
        <f t="shared" si="2"/>
        <v>81</v>
      </c>
    </row>
    <row r="20" spans="3:4" s="1" customFormat="1" x14ac:dyDescent="0.25"/>
    <row r="21" spans="3:4" s="1" customFormat="1" x14ac:dyDescent="0.25"/>
    <row r="22" spans="3:4" s="1" customFormat="1" x14ac:dyDescent="0.25"/>
    <row r="23" spans="3:4" s="1" customFormat="1" x14ac:dyDescent="0.25"/>
    <row r="24" spans="3:4" s="1" customFormat="1" x14ac:dyDescent="0.25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45"/>
  <sheetViews>
    <sheetView workbookViewId="0"/>
  </sheetViews>
  <sheetFormatPr defaultRowHeight="15" x14ac:dyDescent="0.25"/>
  <cols>
    <col min="1" max="1" width="3" style="1" customWidth="1"/>
    <col min="2" max="2" width="14.85546875" style="1" customWidth="1"/>
    <col min="3" max="3" width="3" style="1" customWidth="1"/>
    <col min="4" max="4" width="14.85546875" style="1" customWidth="1"/>
    <col min="5" max="5" width="9.140625" style="1" customWidth="1"/>
    <col min="6" max="6" width="14.85546875" style="1" customWidth="1"/>
    <col min="7" max="7" width="12.7109375" style="1" customWidth="1"/>
    <col min="8" max="11" width="9.140625" style="1"/>
    <col min="12" max="13" width="9.140625" style="1" customWidth="1"/>
    <col min="14" max="16384" width="9.140625" style="1"/>
  </cols>
  <sheetData>
    <row r="1" spans="1:19" s="33" customFormat="1" ht="26.25" x14ac:dyDescent="0.4">
      <c r="A1" s="38" t="s">
        <v>22</v>
      </c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</row>
    <row r="2" spans="1:19" s="2" customFormat="1" x14ac:dyDescent="0.25">
      <c r="B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</row>
    <row r="3" spans="1:19" s="2" customFormat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1:19" s="2" customFormat="1" x14ac:dyDescent="0.25">
      <c r="B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</row>
    <row r="5" spans="1:19" s="2" customFormat="1" x14ac:dyDescent="0.25">
      <c r="A5" s="3"/>
      <c r="C5" s="3"/>
    </row>
    <row r="6" spans="1:19" s="2" customFormat="1" x14ac:dyDescent="0.25">
      <c r="A6" s="13"/>
      <c r="B6" s="17" t="s">
        <v>0</v>
      </c>
      <c r="C6" s="13"/>
      <c r="D6" s="17" t="s">
        <v>1</v>
      </c>
      <c r="E6" s="18" t="s">
        <v>3</v>
      </c>
      <c r="F6" s="6" t="s">
        <v>2</v>
      </c>
    </row>
    <row r="7" spans="1:19" s="2" customFormat="1" ht="22.5" customHeight="1" x14ac:dyDescent="0.25">
      <c r="A7" s="13"/>
      <c r="B7" s="9">
        <v>4</v>
      </c>
      <c r="C7" s="13"/>
      <c r="D7" s="9">
        <v>2</v>
      </c>
      <c r="E7" s="10">
        <f>B7-1</f>
        <v>3</v>
      </c>
      <c r="F7" s="10">
        <f>linerp($B$7:$B$13,$D$7:$D$13,E7)</f>
        <v>0</v>
      </c>
    </row>
    <row r="8" spans="1:19" s="2" customFormat="1" ht="22.5" customHeight="1" x14ac:dyDescent="0.25">
      <c r="A8" s="13"/>
      <c r="B8" s="9">
        <v>8</v>
      </c>
      <c r="C8" s="13"/>
      <c r="D8" s="9">
        <v>10</v>
      </c>
      <c r="E8" s="15">
        <v>5</v>
      </c>
      <c r="F8" s="15">
        <f>linerp($B$7:$B$13,$D$7:$D$13,E8)</f>
        <v>4</v>
      </c>
    </row>
    <row r="9" spans="1:19" s="2" customFormat="1" ht="22.5" customHeight="1" x14ac:dyDescent="0.25">
      <c r="A9" s="13"/>
      <c r="B9" s="9">
        <v>10</v>
      </c>
      <c r="C9" s="13"/>
      <c r="D9" s="9">
        <v>4</v>
      </c>
      <c r="E9" s="15">
        <v>9</v>
      </c>
      <c r="F9" s="15">
        <f t="shared" ref="F9:F12" si="0">linerp($B$7:$B$13,$D$7:$D$13,E9)</f>
        <v>7</v>
      </c>
    </row>
    <row r="10" spans="1:19" s="2" customFormat="1" ht="22.5" customHeight="1" x14ac:dyDescent="0.25">
      <c r="A10" s="13"/>
      <c r="B10" s="9">
        <v>12</v>
      </c>
      <c r="C10" s="13"/>
      <c r="D10" s="9">
        <v>14</v>
      </c>
      <c r="E10" s="15">
        <v>11</v>
      </c>
      <c r="F10" s="15">
        <f t="shared" si="0"/>
        <v>9</v>
      </c>
    </row>
    <row r="11" spans="1:19" s="2" customFormat="1" ht="22.5" customHeight="1" x14ac:dyDescent="0.25">
      <c r="A11" s="13"/>
      <c r="B11" s="9">
        <v>16</v>
      </c>
      <c r="C11" s="13"/>
      <c r="D11" s="9">
        <v>2</v>
      </c>
      <c r="E11" s="15">
        <v>14</v>
      </c>
      <c r="F11" s="15">
        <f t="shared" si="0"/>
        <v>8</v>
      </c>
    </row>
    <row r="12" spans="1:19" s="2" customFormat="1" ht="22.5" customHeight="1" x14ac:dyDescent="0.25">
      <c r="A12" s="3"/>
      <c r="B12" s="9">
        <v>20</v>
      </c>
      <c r="C12" s="3"/>
      <c r="D12" s="9">
        <v>4</v>
      </c>
      <c r="E12" s="15">
        <v>18</v>
      </c>
      <c r="F12" s="15">
        <f t="shared" si="0"/>
        <v>3</v>
      </c>
    </row>
    <row r="13" spans="1:19" s="2" customFormat="1" ht="22.5" customHeight="1" x14ac:dyDescent="0.25">
      <c r="A13" s="3"/>
      <c r="B13" s="9">
        <v>23</v>
      </c>
      <c r="C13" s="3"/>
      <c r="D13" s="9">
        <v>10</v>
      </c>
      <c r="E13" s="10">
        <f>B13+1</f>
        <v>24</v>
      </c>
      <c r="F13" s="10">
        <f>linerp($B$7:$B$13,$D$7:$D$13,E13)</f>
        <v>12</v>
      </c>
    </row>
    <row r="14" spans="1:19" s="2" customFormat="1" x14ac:dyDescent="0.25">
      <c r="A14" s="3"/>
      <c r="B14" s="30"/>
      <c r="C14" s="3"/>
      <c r="D14" s="31"/>
      <c r="E14" s="30"/>
    </row>
    <row r="15" spans="1:19" x14ac:dyDescent="0.25">
      <c r="A15" s="3"/>
      <c r="C15" s="3"/>
    </row>
    <row r="16" spans="1:19" x14ac:dyDescent="0.25">
      <c r="A16" s="3"/>
      <c r="C16" s="3"/>
      <c r="P16" s="40"/>
      <c r="Q16" s="29"/>
    </row>
    <row r="17" spans="1:17" x14ac:dyDescent="0.25">
      <c r="A17" s="3"/>
      <c r="C17" s="3"/>
      <c r="P17" s="31"/>
      <c r="Q17" s="30"/>
    </row>
    <row r="18" spans="1:17" x14ac:dyDescent="0.25">
      <c r="A18" s="3"/>
      <c r="C18" s="3"/>
      <c r="P18" s="31"/>
      <c r="Q18" s="30"/>
    </row>
    <row r="19" spans="1:17" x14ac:dyDescent="0.25">
      <c r="A19" s="3"/>
      <c r="B19" s="29"/>
      <c r="C19" s="3"/>
      <c r="D19" s="30"/>
      <c r="E19" s="30"/>
      <c r="F19" s="30"/>
      <c r="G19" s="30"/>
      <c r="H19" s="30"/>
      <c r="I19" s="30"/>
      <c r="J19" s="30"/>
      <c r="P19" s="31"/>
      <c r="Q19" s="30"/>
    </row>
    <row r="20" spans="1:17" x14ac:dyDescent="0.25">
      <c r="B20" s="29"/>
      <c r="D20" s="30"/>
      <c r="E20" s="30"/>
      <c r="F20" s="30"/>
      <c r="G20" s="30"/>
      <c r="H20" s="30"/>
      <c r="I20" s="30"/>
      <c r="J20" s="30"/>
      <c r="P20" s="31"/>
      <c r="Q20" s="30"/>
    </row>
    <row r="21" spans="1:17" x14ac:dyDescent="0.25">
      <c r="B21" s="29"/>
      <c r="D21" s="30"/>
      <c r="E21" s="30"/>
      <c r="F21" s="30"/>
      <c r="G21" s="30"/>
      <c r="H21" s="30"/>
      <c r="I21" s="30"/>
      <c r="J21" s="30"/>
      <c r="P21" s="31"/>
      <c r="Q21" s="30"/>
    </row>
    <row r="22" spans="1:17" x14ac:dyDescent="0.25">
      <c r="B22" s="29"/>
      <c r="D22" s="30"/>
      <c r="E22" s="30"/>
      <c r="F22" s="30"/>
      <c r="G22" s="30"/>
      <c r="H22" s="30"/>
      <c r="I22" s="30"/>
      <c r="J22" s="30"/>
      <c r="P22" s="31"/>
      <c r="Q22" s="30"/>
    </row>
    <row r="23" spans="1:17" x14ac:dyDescent="0.25">
      <c r="B23" s="29"/>
      <c r="D23" s="30"/>
      <c r="E23" s="30"/>
      <c r="F23" s="30"/>
      <c r="G23" s="30"/>
      <c r="H23" s="30"/>
      <c r="I23" s="30"/>
      <c r="J23" s="30"/>
      <c r="P23" s="31"/>
      <c r="Q23" s="30"/>
    </row>
    <row r="24" spans="1:17" x14ac:dyDescent="0.25">
      <c r="B24" s="29"/>
      <c r="D24" s="30"/>
      <c r="E24" s="30"/>
      <c r="F24" s="30"/>
      <c r="G24" s="30"/>
      <c r="H24" s="30"/>
      <c r="I24" s="30"/>
      <c r="J24" s="30"/>
    </row>
    <row r="34" spans="1:4" x14ac:dyDescent="0.25">
      <c r="B34" s="14"/>
      <c r="D34" s="14"/>
    </row>
    <row r="43" spans="1:4" x14ac:dyDescent="0.25">
      <c r="B43" s="36" t="s">
        <v>23</v>
      </c>
    </row>
    <row r="45" spans="1:4" x14ac:dyDescent="0.25">
      <c r="A45" s="36"/>
      <c r="C45" s="3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0</xdr:col>
                    <xdr:colOff>28575</xdr:colOff>
                    <xdr:row>6</xdr:row>
                    <xdr:rowOff>0</xdr:rowOff>
                  </from>
                  <to>
                    <xdr:col>0</xdr:col>
                    <xdr:colOff>171450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Spinner 2">
              <controlPr defaultSize="0" autoPict="0">
                <anchor moveWithCells="1" sizeWithCells="1">
                  <from>
                    <xdr:col>0</xdr:col>
                    <xdr:colOff>28575</xdr:colOff>
                    <xdr:row>7</xdr:row>
                    <xdr:rowOff>0</xdr:rowOff>
                  </from>
                  <to>
                    <xdr:col>0</xdr:col>
                    <xdr:colOff>171450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Spinner 3">
              <controlPr defaultSize="0" autoPict="0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171450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Spinner 4">
              <controlPr defaultSize="0" autoPict="0">
                <anchor moveWithCells="1" sizeWithCells="1">
                  <from>
                    <xdr:col>0</xdr:col>
                    <xdr:colOff>28575</xdr:colOff>
                    <xdr:row>9</xdr:row>
                    <xdr:rowOff>0</xdr:rowOff>
                  </from>
                  <to>
                    <xdr:col>0</xdr:col>
                    <xdr:colOff>171450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Spinner 6">
              <controlPr defaultSize="0" autoPict="0">
                <anchor moveWithCells="1" sizeWithCells="1">
                  <from>
                    <xdr:col>2</xdr:col>
                    <xdr:colOff>28575</xdr:colOff>
                    <xdr:row>6</xdr:row>
                    <xdr:rowOff>0</xdr:rowOff>
                  </from>
                  <to>
                    <xdr:col>2</xdr:col>
                    <xdr:colOff>171450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Spinner 7">
              <controlPr defaultSize="0" autoPict="0">
                <anchor moveWithCells="1" sizeWithCells="1">
                  <from>
                    <xdr:col>2</xdr:col>
                    <xdr:colOff>28575</xdr:colOff>
                    <xdr:row>7</xdr:row>
                    <xdr:rowOff>0</xdr:rowOff>
                  </from>
                  <to>
                    <xdr:col>2</xdr:col>
                    <xdr:colOff>171450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Spinner 8">
              <controlPr defaultSize="0" autoPict="0">
                <anchor moveWithCells="1" sizeWithCells="1">
                  <from>
                    <xdr:col>2</xdr:col>
                    <xdr:colOff>28575</xdr:colOff>
                    <xdr:row>8</xdr:row>
                    <xdr:rowOff>0</xdr:rowOff>
                  </from>
                  <to>
                    <xdr:col>2</xdr:col>
                    <xdr:colOff>171450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Spinner 9">
              <controlPr defaultSize="0" autoPict="0">
                <anchor moveWithCells="1" sizeWithCells="1">
                  <from>
                    <xdr:col>2</xdr:col>
                    <xdr:colOff>28575</xdr:colOff>
                    <xdr:row>9</xdr:row>
                    <xdr:rowOff>0</xdr:rowOff>
                  </from>
                  <to>
                    <xdr:col>2</xdr:col>
                    <xdr:colOff>171450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1" name="Spinner 10">
              <controlPr defaultSize="0" autoPict="0">
                <anchor moveWithCells="1" sizeWithCells="1">
                  <from>
                    <xdr:col>2</xdr:col>
                    <xdr:colOff>28575</xdr:colOff>
                    <xdr:row>10</xdr:row>
                    <xdr:rowOff>0</xdr:rowOff>
                  </from>
                  <to>
                    <xdr:col>2</xdr:col>
                    <xdr:colOff>171450</xdr:colOff>
                    <xdr:row>10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Spinner 13">
              <controlPr defaultSize="0" autoPict="0">
                <anchor moveWithCells="1" sizeWithCells="1">
                  <from>
                    <xdr:col>0</xdr:col>
                    <xdr:colOff>28575</xdr:colOff>
                    <xdr:row>10</xdr:row>
                    <xdr:rowOff>0</xdr:rowOff>
                  </from>
                  <to>
                    <xdr:col>0</xdr:col>
                    <xdr:colOff>171450</xdr:colOff>
                    <xdr:row>10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Spinner 14">
              <controlPr defaultSize="0" autoPict="0">
                <anchor moveWithCells="1" siz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0</xdr:col>
                    <xdr:colOff>171450</xdr:colOff>
                    <xdr:row>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4" name="Spinner 15">
              <controlPr defaultSize="0" autoPict="0">
                <anchor moveWithCells="1" sizeWithCells="1">
                  <from>
                    <xdr:col>0</xdr:col>
                    <xdr:colOff>28575</xdr:colOff>
                    <xdr:row>12</xdr:row>
                    <xdr:rowOff>0</xdr:rowOff>
                  </from>
                  <to>
                    <xdr:col>0</xdr:col>
                    <xdr:colOff>171450</xdr:colOff>
                    <xdr:row>12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5" name="Spinner 16">
              <controlPr defaultSize="0" autoPict="0">
                <anchor moveWithCells="1" sizeWithCells="1">
                  <from>
                    <xdr:col>2</xdr:col>
                    <xdr:colOff>28575</xdr:colOff>
                    <xdr:row>11</xdr:row>
                    <xdr:rowOff>0</xdr:rowOff>
                  </from>
                  <to>
                    <xdr:col>2</xdr:col>
                    <xdr:colOff>171450</xdr:colOff>
                    <xdr:row>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6" name="Spinner 17">
              <controlPr defaultSize="0" autoPict="0">
                <anchor moveWithCells="1" sizeWithCells="1">
                  <from>
                    <xdr:col>2</xdr:col>
                    <xdr:colOff>28575</xdr:colOff>
                    <xdr:row>12</xdr:row>
                    <xdr:rowOff>0</xdr:rowOff>
                  </from>
                  <to>
                    <xdr:col>2</xdr:col>
                    <xdr:colOff>171450</xdr:colOff>
                    <xdr:row>12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U45"/>
  <sheetViews>
    <sheetView workbookViewId="0"/>
  </sheetViews>
  <sheetFormatPr defaultRowHeight="15" x14ac:dyDescent="0.25"/>
  <cols>
    <col min="1" max="1" width="15" style="1" bestFit="1" customWidth="1"/>
    <col min="2" max="2" width="14.85546875" style="1" customWidth="1"/>
    <col min="3" max="3" width="9.140625" style="1"/>
    <col min="4" max="4" width="13.85546875" style="1" bestFit="1" customWidth="1"/>
    <col min="5" max="5" width="12" style="1" bestFit="1" customWidth="1"/>
    <col min="6" max="6" width="11.7109375" style="1" customWidth="1"/>
    <col min="7" max="7" width="11.28515625" style="1" customWidth="1"/>
    <col min="8" max="8" width="9.140625" style="1"/>
    <col min="9" max="10" width="15" style="1" bestFit="1" customWidth="1"/>
    <col min="11" max="11" width="9.140625" style="1" customWidth="1"/>
    <col min="12" max="12" width="13.85546875" style="1" bestFit="1" customWidth="1"/>
    <col min="13" max="13" width="14.5703125" style="1" bestFit="1" customWidth="1"/>
    <col min="14" max="14" width="11.7109375" style="1" bestFit="1" customWidth="1"/>
    <col min="15" max="15" width="11.28515625" style="1" bestFit="1" customWidth="1"/>
    <col min="16" max="16" width="9.140625" style="1"/>
    <col min="17" max="18" width="15" style="1" bestFit="1" customWidth="1"/>
    <col min="19" max="19" width="9.140625" style="1"/>
    <col min="20" max="20" width="13.85546875" style="1" bestFit="1" customWidth="1"/>
    <col min="21" max="21" width="13.7109375" style="1" customWidth="1"/>
    <col min="22" max="22" width="11.7109375" style="1" bestFit="1" customWidth="1"/>
    <col min="23" max="23" width="11.28515625" style="1" bestFit="1" customWidth="1"/>
    <col min="24" max="24" width="9.140625" style="1"/>
    <col min="25" max="26" width="15" style="1" bestFit="1" customWidth="1"/>
    <col min="27" max="27" width="9.140625" style="1"/>
    <col min="28" max="28" width="13.85546875" style="1" bestFit="1" customWidth="1"/>
    <col min="29" max="29" width="13.7109375" style="1" bestFit="1" customWidth="1"/>
    <col min="30" max="30" width="11.7109375" style="1" bestFit="1" customWidth="1"/>
    <col min="31" max="31" width="11.28515625" style="1" bestFit="1" customWidth="1"/>
    <col min="32" max="32" width="9.140625" style="1"/>
    <col min="33" max="34" width="15" style="1" bestFit="1" customWidth="1"/>
    <col min="35" max="35" width="9.140625" style="1" customWidth="1"/>
    <col min="36" max="36" width="13.85546875" style="1" bestFit="1" customWidth="1"/>
    <col min="37" max="37" width="13.7109375" style="1" bestFit="1" customWidth="1"/>
    <col min="38" max="38" width="11.7109375" style="1" bestFit="1" customWidth="1"/>
    <col min="39" max="39" width="11.28515625" style="1" bestFit="1" customWidth="1"/>
    <col min="40" max="40" width="9.140625" style="1"/>
    <col min="41" max="42" width="15" style="1" bestFit="1" customWidth="1"/>
    <col min="43" max="43" width="9.140625" style="1" customWidth="1"/>
    <col min="44" max="44" width="13.85546875" style="1" bestFit="1" customWidth="1"/>
    <col min="45" max="45" width="13.7109375" style="1" bestFit="1" customWidth="1"/>
    <col min="46" max="46" width="11.7109375" style="1" bestFit="1" customWidth="1"/>
    <col min="47" max="47" width="11.28515625" style="1" bestFit="1" customWidth="1"/>
    <col min="48" max="16384" width="9.140625" style="1"/>
  </cols>
  <sheetData>
    <row r="1" spans="1:47" s="33" customFormat="1" ht="26.25" x14ac:dyDescent="0.4">
      <c r="A1" s="38" t="s">
        <v>24</v>
      </c>
      <c r="B1" s="38"/>
    </row>
    <row r="2" spans="1:47" s="2" customFormat="1" x14ac:dyDescent="0.25">
      <c r="A2" s="2" t="s">
        <v>12</v>
      </c>
    </row>
    <row r="3" spans="1:47" ht="17.25" x14ac:dyDescent="0.25">
      <c r="A3" s="1" t="s">
        <v>21</v>
      </c>
      <c r="B3" s="32" t="s">
        <v>14</v>
      </c>
      <c r="C3" s="32" t="s">
        <v>15</v>
      </c>
      <c r="D3" s="32" t="s">
        <v>16</v>
      </c>
      <c r="E3" s="32" t="s">
        <v>17</v>
      </c>
      <c r="F3" s="32" t="s">
        <v>26</v>
      </c>
      <c r="O3" s="21" t="s">
        <v>13</v>
      </c>
      <c r="W3" s="21" t="s">
        <v>13</v>
      </c>
      <c r="AE3" s="21" t="s">
        <v>13</v>
      </c>
      <c r="AM3" s="21" t="s">
        <v>13</v>
      </c>
      <c r="AU3" s="21" t="s">
        <v>13</v>
      </c>
    </row>
    <row r="22" spans="1:47" x14ac:dyDescent="0.25">
      <c r="F22" s="41" t="s">
        <v>7</v>
      </c>
      <c r="G22" s="41"/>
      <c r="N22" s="41" t="s">
        <v>7</v>
      </c>
      <c r="O22" s="41"/>
      <c r="V22" s="41" t="s">
        <v>7</v>
      </c>
      <c r="W22" s="41"/>
      <c r="AD22" s="41" t="s">
        <v>7</v>
      </c>
      <c r="AE22" s="41"/>
      <c r="AL22" s="41" t="s">
        <v>7</v>
      </c>
      <c r="AM22" s="41"/>
      <c r="AT22" s="41" t="s">
        <v>7</v>
      </c>
      <c r="AU22" s="41"/>
    </row>
    <row r="23" spans="1:47" ht="17.25" x14ac:dyDescent="0.25">
      <c r="A23" s="17" t="s">
        <v>0</v>
      </c>
      <c r="B23" s="17" t="s">
        <v>1</v>
      </c>
      <c r="C23" s="18" t="s">
        <v>3</v>
      </c>
      <c r="D23" s="18" t="s">
        <v>2</v>
      </c>
      <c r="E23" s="19" t="s">
        <v>4</v>
      </c>
      <c r="F23" s="20" t="s">
        <v>5</v>
      </c>
      <c r="G23" s="20" t="s">
        <v>6</v>
      </c>
      <c r="I23" s="17" t="s">
        <v>0</v>
      </c>
      <c r="J23" s="17" t="s">
        <v>1</v>
      </c>
      <c r="K23" s="18" t="s">
        <v>3</v>
      </c>
      <c r="L23" s="18" t="s">
        <v>2</v>
      </c>
      <c r="M23" s="19" t="s">
        <v>8</v>
      </c>
      <c r="N23" s="20" t="s">
        <v>5</v>
      </c>
      <c r="O23" s="20" t="s">
        <v>6</v>
      </c>
      <c r="Q23" s="17" t="s">
        <v>0</v>
      </c>
      <c r="R23" s="17" t="s">
        <v>1</v>
      </c>
      <c r="S23" s="18" t="s">
        <v>3</v>
      </c>
      <c r="T23" s="18" t="s">
        <v>2</v>
      </c>
      <c r="U23" s="19" t="s">
        <v>9</v>
      </c>
      <c r="V23" s="20" t="s">
        <v>5</v>
      </c>
      <c r="W23" s="20" t="s">
        <v>6</v>
      </c>
      <c r="Y23" s="17" t="s">
        <v>0</v>
      </c>
      <c r="Z23" s="17" t="s">
        <v>1</v>
      </c>
      <c r="AA23" s="18" t="s">
        <v>3</v>
      </c>
      <c r="AB23" s="18" t="s">
        <v>2</v>
      </c>
      <c r="AC23" s="19" t="s">
        <v>10</v>
      </c>
      <c r="AD23" s="20" t="s">
        <v>5</v>
      </c>
      <c r="AE23" s="20" t="s">
        <v>6</v>
      </c>
      <c r="AG23" s="17" t="s">
        <v>0</v>
      </c>
      <c r="AH23" s="17" t="s">
        <v>1</v>
      </c>
      <c r="AI23" s="18" t="s">
        <v>3</v>
      </c>
      <c r="AJ23" s="18" t="s">
        <v>2</v>
      </c>
      <c r="AK23" s="19" t="s">
        <v>11</v>
      </c>
      <c r="AL23" s="20" t="s">
        <v>5</v>
      </c>
      <c r="AM23" s="20" t="s">
        <v>6</v>
      </c>
      <c r="AO23" s="17" t="s">
        <v>0</v>
      </c>
      <c r="AP23" s="17" t="s">
        <v>1</v>
      </c>
      <c r="AQ23" s="18" t="s">
        <v>3</v>
      </c>
      <c r="AR23" s="18" t="s">
        <v>2</v>
      </c>
      <c r="AS23" s="19" t="s">
        <v>25</v>
      </c>
      <c r="AT23" s="20" t="s">
        <v>5</v>
      </c>
      <c r="AU23" s="20" t="s">
        <v>6</v>
      </c>
    </row>
    <row r="24" spans="1:47" x14ac:dyDescent="0.25">
      <c r="A24" s="9">
        <v>2</v>
      </c>
      <c r="B24" s="9">
        <f>1/A24</f>
        <v>0.5</v>
      </c>
      <c r="C24" s="15">
        <f ca="1">RANDBETWEEN($A$24,$A$43)</f>
        <v>17</v>
      </c>
      <c r="D24" s="15">
        <f ca="1">Bezier($A$24:$A$43,$B$24:$B$43,C24,1)</f>
        <v>5.8816964285714285E-2</v>
      </c>
      <c r="E24" s="16">
        <f ca="1">1/C24</f>
        <v>5.8823529411764705E-2</v>
      </c>
      <c r="F24" s="14" t="b">
        <f ca="1">ROUND(D24,2)=ROUND(E24,2)</f>
        <v>1</v>
      </c>
      <c r="G24" s="14" t="b">
        <f ca="1">ROUND(D24,3)=ROUND(E24,3)</f>
        <v>1</v>
      </c>
      <c r="I24" s="9">
        <v>2</v>
      </c>
      <c r="J24" s="9">
        <f>LOG(I24)</f>
        <v>0.3010299956639812</v>
      </c>
      <c r="K24" s="15">
        <f ca="1">RANDBETWEEN($I$24,$I$43)</f>
        <v>23</v>
      </c>
      <c r="L24" s="15">
        <f ca="1">Bezier($I$24:$I$43,$J$24:$J$43,K24,1)</f>
        <v>1.3617313724480944</v>
      </c>
      <c r="M24" s="16">
        <f ca="1">LOG(K24)</f>
        <v>1.3617278360175928</v>
      </c>
      <c r="N24" s="14" t="b">
        <f ca="1">ROUND(L24,2)=ROUND(M24,2)</f>
        <v>1</v>
      </c>
      <c r="O24" s="14" t="b">
        <f ca="1">ROUND(L24,3)=ROUND(M24,3)</f>
        <v>1</v>
      </c>
      <c r="Q24" s="9">
        <v>2</v>
      </c>
      <c r="R24" s="9">
        <f>Q24^3</f>
        <v>8</v>
      </c>
      <c r="S24" s="15">
        <f ca="1">RANDBETWEEN($Q$24,$Q$43)</f>
        <v>8</v>
      </c>
      <c r="T24" s="15">
        <f ca="1">Bezier($Q$24:$Q$43,$R$24:$R$43,S24,1)</f>
        <v>512</v>
      </c>
      <c r="U24" s="16">
        <f ca="1">S24^3</f>
        <v>512</v>
      </c>
      <c r="V24" s="14" t="b">
        <f ca="1">ROUND(T24,2)=ROUND(U24,2)</f>
        <v>1</v>
      </c>
      <c r="W24" s="14" t="b">
        <f ca="1">ROUND(T24,3)=ROUND(U24,3)</f>
        <v>1</v>
      </c>
      <c r="Y24" s="9">
        <v>2</v>
      </c>
      <c r="Z24" s="9">
        <f>EXP(Y24)</f>
        <v>7.3890560989306504</v>
      </c>
      <c r="AA24" s="15">
        <f ca="1">RANDBETWEEN($Q$24,$Q$43)</f>
        <v>7</v>
      </c>
      <c r="AB24" s="15">
        <f ca="1">Bezier($Y$24:$Y$43,$Z$24:$Z$43,AA24,1)</f>
        <v>1278.4036039079795</v>
      </c>
      <c r="AC24" s="16">
        <f ca="1">EXP(AA24)</f>
        <v>1096.6331584284585</v>
      </c>
      <c r="AD24" s="14" t="b">
        <f ca="1">ROUND(AB24,2)=ROUND(AC24,2)</f>
        <v>0</v>
      </c>
      <c r="AE24" s="14" t="b">
        <f ca="1">ROUND(AB24,3)=ROUND(AC24,3)</f>
        <v>0</v>
      </c>
      <c r="AG24" s="9">
        <v>2</v>
      </c>
      <c r="AH24" s="9">
        <f>COS(AG24)</f>
        <v>-0.41614683654714241</v>
      </c>
      <c r="AI24" s="15">
        <f ca="1">RANDBETWEEN($Q$24,$Q$43)</f>
        <v>37</v>
      </c>
      <c r="AJ24" s="15">
        <f ca="1">Bezier($AG$24:$AG$43,$AH$24:$AH$43,AI24,1)</f>
        <v>0.55996862038849249</v>
      </c>
      <c r="AK24" s="16">
        <f ca="1">COS(AI24)</f>
        <v>0.7654140519453434</v>
      </c>
      <c r="AL24" s="14" t="b">
        <f ca="1">ROUND(AJ24,2)=ROUND(AK24,2)</f>
        <v>0</v>
      </c>
      <c r="AM24" s="14" t="b">
        <f ca="1">ROUND(AJ24,3)=ROUND(AK24,3)</f>
        <v>0</v>
      </c>
      <c r="AO24" s="9">
        <v>-10</v>
      </c>
      <c r="AP24" s="9">
        <f>SQRT(10^2-AO24^2)</f>
        <v>0</v>
      </c>
      <c r="AQ24" s="15">
        <f ca="1">RANDBETWEEN($AO$24,$AO$34)</f>
        <v>9</v>
      </c>
      <c r="AR24" s="15">
        <f ca="1">Bezier($AO$24:$AO$34,$AP$24:$AP$34,AQ24,1)</f>
        <v>4.1261104565317668</v>
      </c>
      <c r="AS24" s="16">
        <f ca="1">SQRT(10^2-AQ24^2)</f>
        <v>4.358898943540674</v>
      </c>
      <c r="AT24" s="14" t="b">
        <f ca="1">ROUND(AR24,2)=ROUND(AS24,2)</f>
        <v>0</v>
      </c>
      <c r="AU24" s="14" t="b">
        <f ca="1">ROUND(AR24,3)=ROUND(AS24,3)</f>
        <v>0</v>
      </c>
    </row>
    <row r="25" spans="1:47" x14ac:dyDescent="0.25">
      <c r="A25" s="9">
        <v>4</v>
      </c>
      <c r="B25" s="9">
        <f t="shared" ref="B25:B43" si="0">1/A25</f>
        <v>0.25</v>
      </c>
      <c r="C25" s="15">
        <f t="shared" ref="C25:C43" ca="1" si="1">RANDBETWEEN($A$24,$A$43)</f>
        <v>35</v>
      </c>
      <c r="D25" s="15">
        <f t="shared" ref="D25:D43" ca="1" si="2">Bezier($A$24:$A$43,$B$24:$B$43,C25,1)</f>
        <v>2.8571255804953559E-2</v>
      </c>
      <c r="E25" s="16">
        <f t="shared" ref="E25:E43" ca="1" si="3">1/C25</f>
        <v>2.8571428571428571E-2</v>
      </c>
      <c r="F25" s="14" t="b">
        <f t="shared" ref="F25:F43" ca="1" si="4">ROUND(D25,2)=ROUND(E25,2)</f>
        <v>1</v>
      </c>
      <c r="G25" s="14" t="b">
        <f t="shared" ref="G25:G43" ca="1" si="5">ROUND(D25,3)=ROUND(E25,3)</f>
        <v>1</v>
      </c>
      <c r="I25" s="9">
        <v>4</v>
      </c>
      <c r="J25" s="9">
        <f t="shared" ref="J25:J43" si="6">LOG(I25)</f>
        <v>0.6020599913279624</v>
      </c>
      <c r="K25" s="15">
        <f t="shared" ref="K25:K43" ca="1" si="7">RANDBETWEEN($I$24,$I$43)</f>
        <v>5</v>
      </c>
      <c r="L25" s="15">
        <f t="shared" ref="L25:L43" ca="1" si="8">Bezier($I$24:$I$43,$J$24:$J$43,K25,1)</f>
        <v>0.70111132454678315</v>
      </c>
      <c r="M25" s="16">
        <f t="shared" ref="M25:M43" ca="1" si="9">LOG(K25)</f>
        <v>0.69897000433601886</v>
      </c>
      <c r="N25" s="14" t="b">
        <f t="shared" ref="N25:N43" ca="1" si="10">ROUND(L25,2)=ROUND(M25,2)</f>
        <v>1</v>
      </c>
      <c r="O25" s="14" t="b">
        <f t="shared" ref="O25:O43" ca="1" si="11">ROUND(L25,3)=ROUND(M25,3)</f>
        <v>0</v>
      </c>
      <c r="Q25" s="9">
        <v>4</v>
      </c>
      <c r="R25" s="9">
        <f t="shared" ref="R25:R43" si="12">Q25^3</f>
        <v>64</v>
      </c>
      <c r="S25" s="15">
        <f t="shared" ref="S25:S43" ca="1" si="13">RANDBETWEEN($Q$24,$Q$43)</f>
        <v>30</v>
      </c>
      <c r="T25" s="15">
        <f t="shared" ref="T25:T43" ca="1" si="14">Bezier($Q$24:$Q$43,$R$24:$R$43,S25,1)</f>
        <v>27000</v>
      </c>
      <c r="U25" s="16">
        <f t="shared" ref="U25:U43" ca="1" si="15">S25^3</f>
        <v>27000</v>
      </c>
      <c r="V25" s="14" t="b">
        <f t="shared" ref="V25:V43" ca="1" si="16">ROUND(T25,2)=ROUND(U25,2)</f>
        <v>1</v>
      </c>
      <c r="W25" s="14" t="b">
        <f t="shared" ref="W25:W43" ca="1" si="17">ROUND(T25,3)=ROUND(U25,3)</f>
        <v>1</v>
      </c>
      <c r="Y25" s="9">
        <v>4</v>
      </c>
      <c r="Z25" s="9">
        <f t="shared" ref="Z25:Z43" si="18">EXP(Y25)</f>
        <v>54.598150033144236</v>
      </c>
      <c r="AA25" s="15">
        <f t="shared" ref="AA25:AA43" ca="1" si="19">RANDBETWEEN($Q$24,$Q$43)</f>
        <v>26</v>
      </c>
      <c r="AB25" s="15">
        <f t="shared" ref="AB25:AB43" ca="1" si="20">Bezier($Y$24:$Y$43,$Z$24:$Z$43,AA25,1)</f>
        <v>195729609428.83878</v>
      </c>
      <c r="AC25" s="16">
        <f t="shared" ref="AC25:AC43" ca="1" si="21">EXP(AA25)</f>
        <v>195729609428.83878</v>
      </c>
      <c r="AD25" s="14" t="b">
        <f t="shared" ref="AD25:AD43" ca="1" si="22">ROUND(AB25,2)=ROUND(AC25,2)</f>
        <v>1</v>
      </c>
      <c r="AE25" s="14" t="b">
        <f t="shared" ref="AE25:AE43" ca="1" si="23">ROUND(AB25,3)=ROUND(AC25,3)</f>
        <v>1</v>
      </c>
      <c r="AG25" s="9">
        <v>4</v>
      </c>
      <c r="AH25" s="9">
        <f t="shared" ref="AH25:AH43" si="24">COS(AG25)</f>
        <v>-0.65364362086361194</v>
      </c>
      <c r="AI25" s="15">
        <f t="shared" ref="AI25:AI43" ca="1" si="25">RANDBETWEEN($Q$24,$Q$43)</f>
        <v>13</v>
      </c>
      <c r="AJ25" s="15">
        <f t="shared" ref="AJ25:AJ43" ca="1" si="26">Bezier($AG$24:$AG$43,$AH$24:$AH$43,AI25,1)</f>
        <v>0.66387822511642303</v>
      </c>
      <c r="AK25" s="16">
        <f t="shared" ref="AK25:AK43" ca="1" si="27">COS(AI25)</f>
        <v>0.90744678145019619</v>
      </c>
      <c r="AL25" s="14" t="b">
        <f t="shared" ref="AL25:AL43" ca="1" si="28">ROUND(AJ25,2)=ROUND(AK25,2)</f>
        <v>0</v>
      </c>
      <c r="AM25" s="14" t="b">
        <f t="shared" ref="AM25:AM43" ca="1" si="29">ROUND(AJ25,3)=ROUND(AK25,3)</f>
        <v>0</v>
      </c>
      <c r="AO25" s="9">
        <v>-9.5</v>
      </c>
      <c r="AP25" s="9">
        <f t="shared" ref="AP25:AP34" si="30">SQRT(10^2-AO25^2)</f>
        <v>3.1224989991991992</v>
      </c>
      <c r="AQ25" s="15">
        <f t="shared" ref="AQ25:AQ34" ca="1" si="31">RANDBETWEEN($AO$24,$AO$34)</f>
        <v>-1</v>
      </c>
      <c r="AR25" s="15">
        <f t="shared" ref="AR25:AR34" ca="1" si="32">Bezier($AO$24:$AO$34,$AP$24:$AP$34,AQ25,1)</f>
        <v>9.9770789344373405</v>
      </c>
      <c r="AS25" s="16">
        <f t="shared" ref="AS25:AS33" ca="1" si="33">SQRT(10^2-AQ25^2)</f>
        <v>9.9498743710661994</v>
      </c>
      <c r="AT25" s="14" t="b">
        <f t="shared" ref="AT25:AT43" ca="1" si="34">ROUND(AR25,2)=ROUND(AS25,2)</f>
        <v>0</v>
      </c>
      <c r="AU25" s="14" t="b">
        <f t="shared" ref="AU25:AU43" ca="1" si="35">ROUND(AR25,3)=ROUND(AS25,3)</f>
        <v>0</v>
      </c>
    </row>
    <row r="26" spans="1:47" x14ac:dyDescent="0.25">
      <c r="A26" s="9">
        <v>6</v>
      </c>
      <c r="B26" s="9">
        <f t="shared" si="0"/>
        <v>0.16666666666666666</v>
      </c>
      <c r="C26" s="15">
        <f t="shared" ca="1" si="1"/>
        <v>26</v>
      </c>
      <c r="D26" s="15">
        <f t="shared" ca="1" si="2"/>
        <v>3.8461538461538464E-2</v>
      </c>
      <c r="E26" s="16">
        <f t="shared" ca="1" si="3"/>
        <v>3.8461538461538464E-2</v>
      </c>
      <c r="F26" s="14" t="b">
        <f t="shared" ca="1" si="4"/>
        <v>1</v>
      </c>
      <c r="G26" s="14" t="b">
        <f t="shared" ca="1" si="5"/>
        <v>1</v>
      </c>
      <c r="I26" s="9">
        <v>6</v>
      </c>
      <c r="J26" s="9">
        <f t="shared" si="6"/>
        <v>0.77815125038364363</v>
      </c>
      <c r="K26" s="15">
        <f t="shared" ca="1" si="7"/>
        <v>40</v>
      </c>
      <c r="L26" s="15">
        <f t="shared" ca="1" si="8"/>
        <v>1.6020599913279623</v>
      </c>
      <c r="M26" s="16">
        <f t="shared" ca="1" si="9"/>
        <v>1.6020599913279623</v>
      </c>
      <c r="N26" s="14" t="b">
        <f t="shared" ca="1" si="10"/>
        <v>1</v>
      </c>
      <c r="O26" s="14" t="b">
        <f t="shared" ca="1" si="11"/>
        <v>1</v>
      </c>
      <c r="Q26" s="9">
        <v>6</v>
      </c>
      <c r="R26" s="9">
        <f t="shared" si="12"/>
        <v>216</v>
      </c>
      <c r="S26" s="15">
        <f t="shared" ca="1" si="13"/>
        <v>30</v>
      </c>
      <c r="T26" s="15">
        <f t="shared" ca="1" si="14"/>
        <v>27000</v>
      </c>
      <c r="U26" s="16">
        <f t="shared" ca="1" si="15"/>
        <v>27000</v>
      </c>
      <c r="V26" s="14" t="b">
        <f t="shared" ca="1" si="16"/>
        <v>1</v>
      </c>
      <c r="W26" s="14" t="b">
        <f t="shared" ca="1" si="17"/>
        <v>1</v>
      </c>
      <c r="Y26" s="9">
        <v>6</v>
      </c>
      <c r="Z26" s="9">
        <f t="shared" si="18"/>
        <v>403.42879349273511</v>
      </c>
      <c r="AA26" s="15">
        <f t="shared" ca="1" si="19"/>
        <v>31</v>
      </c>
      <c r="AB26" s="15">
        <f t="shared" ca="1" si="20"/>
        <v>33863791820563.609</v>
      </c>
      <c r="AC26" s="16">
        <f t="shared" ca="1" si="21"/>
        <v>29048849665247.426</v>
      </c>
      <c r="AD26" s="14" t="b">
        <f t="shared" ca="1" si="22"/>
        <v>0</v>
      </c>
      <c r="AE26" s="14" t="b">
        <f t="shared" ca="1" si="23"/>
        <v>0</v>
      </c>
      <c r="AG26" s="9">
        <v>6</v>
      </c>
      <c r="AH26" s="9">
        <f t="shared" si="24"/>
        <v>0.96017028665036597</v>
      </c>
      <c r="AI26" s="15">
        <f t="shared" ca="1" si="25"/>
        <v>23</v>
      </c>
      <c r="AJ26" s="15">
        <f t="shared" ca="1" si="26"/>
        <v>-0.38981485972879959</v>
      </c>
      <c r="AK26" s="16">
        <f t="shared" ca="1" si="27"/>
        <v>-0.53283302033339752</v>
      </c>
      <c r="AL26" s="14" t="b">
        <f t="shared" ca="1" si="28"/>
        <v>0</v>
      </c>
      <c r="AM26" s="14" t="b">
        <f t="shared" ca="1" si="29"/>
        <v>0</v>
      </c>
      <c r="AO26" s="9">
        <v>-7</v>
      </c>
      <c r="AP26" s="9">
        <f t="shared" si="30"/>
        <v>7.1414284285428504</v>
      </c>
      <c r="AQ26" s="15">
        <f t="shared" ca="1" si="31"/>
        <v>0</v>
      </c>
      <c r="AR26" s="15">
        <f t="shared" ca="1" si="32"/>
        <v>10</v>
      </c>
      <c r="AS26" s="16">
        <f t="shared" ca="1" si="33"/>
        <v>10</v>
      </c>
      <c r="AT26" s="14" t="b">
        <f t="shared" ca="1" si="34"/>
        <v>1</v>
      </c>
      <c r="AU26" s="14" t="b">
        <f t="shared" ca="1" si="35"/>
        <v>1</v>
      </c>
    </row>
    <row r="27" spans="1:47" x14ac:dyDescent="0.25">
      <c r="A27" s="9">
        <v>8</v>
      </c>
      <c r="B27" s="9">
        <f t="shared" si="0"/>
        <v>0.125</v>
      </c>
      <c r="C27" s="15">
        <f t="shared" ca="1" si="1"/>
        <v>30</v>
      </c>
      <c r="D27" s="15">
        <f t="shared" ca="1" si="2"/>
        <v>3.3333333333333333E-2</v>
      </c>
      <c r="E27" s="16">
        <f t="shared" ca="1" si="3"/>
        <v>3.3333333333333333E-2</v>
      </c>
      <c r="F27" s="14" t="b">
        <f t="shared" ca="1" si="4"/>
        <v>1</v>
      </c>
      <c r="G27" s="14" t="b">
        <f t="shared" ca="1" si="5"/>
        <v>1</v>
      </c>
      <c r="I27" s="9">
        <v>8</v>
      </c>
      <c r="J27" s="9">
        <f t="shared" si="6"/>
        <v>0.90308998699194354</v>
      </c>
      <c r="K27" s="15">
        <f t="shared" ca="1" si="7"/>
        <v>15</v>
      </c>
      <c r="L27" s="15">
        <f t="shared" ca="1" si="8"/>
        <v>1.1761111508660334</v>
      </c>
      <c r="M27" s="16">
        <f t="shared" ca="1" si="9"/>
        <v>1.1760912590556813</v>
      </c>
      <c r="N27" s="14" t="b">
        <f t="shared" ca="1" si="10"/>
        <v>1</v>
      </c>
      <c r="O27" s="14" t="b">
        <f t="shared" ca="1" si="11"/>
        <v>1</v>
      </c>
      <c r="Q27" s="9">
        <v>8</v>
      </c>
      <c r="R27" s="9">
        <f t="shared" si="12"/>
        <v>512</v>
      </c>
      <c r="S27" s="15">
        <f t="shared" ca="1" si="13"/>
        <v>36</v>
      </c>
      <c r="T27" s="15">
        <f t="shared" ca="1" si="14"/>
        <v>46656</v>
      </c>
      <c r="U27" s="16">
        <f t="shared" ca="1" si="15"/>
        <v>46656</v>
      </c>
      <c r="V27" s="14" t="b">
        <f t="shared" ca="1" si="16"/>
        <v>1</v>
      </c>
      <c r="W27" s="14" t="b">
        <f t="shared" ca="1" si="17"/>
        <v>1</v>
      </c>
      <c r="Y27" s="9">
        <v>8</v>
      </c>
      <c r="Z27" s="9">
        <f t="shared" si="18"/>
        <v>2980.9579870417283</v>
      </c>
      <c r="AA27" s="15">
        <f t="shared" ca="1" si="19"/>
        <v>18</v>
      </c>
      <c r="AB27" s="15">
        <f t="shared" ca="1" si="20"/>
        <v>65659969.13733051</v>
      </c>
      <c r="AC27" s="16">
        <f t="shared" ca="1" si="21"/>
        <v>65659969.13733051</v>
      </c>
      <c r="AD27" s="14" t="b">
        <f t="shared" ca="1" si="22"/>
        <v>1</v>
      </c>
      <c r="AE27" s="14" t="b">
        <f t="shared" ca="1" si="23"/>
        <v>1</v>
      </c>
      <c r="AG27" s="9">
        <v>8</v>
      </c>
      <c r="AH27" s="9">
        <f t="shared" si="24"/>
        <v>-0.14550003380861354</v>
      </c>
      <c r="AI27" s="15">
        <f t="shared" ca="1" si="25"/>
        <v>11</v>
      </c>
      <c r="AJ27" s="15">
        <f t="shared" ca="1" si="26"/>
        <v>3.2377926565710785E-3</v>
      </c>
      <c r="AK27" s="16">
        <f t="shared" ca="1" si="27"/>
        <v>4.4256979880507854E-3</v>
      </c>
      <c r="AL27" s="14" t="b">
        <f t="shared" ca="1" si="28"/>
        <v>1</v>
      </c>
      <c r="AM27" s="14" t="b">
        <f t="shared" ca="1" si="29"/>
        <v>0</v>
      </c>
      <c r="AO27" s="9">
        <v>-5</v>
      </c>
      <c r="AP27" s="9">
        <f t="shared" si="30"/>
        <v>8.6602540378443873</v>
      </c>
      <c r="AQ27" s="15">
        <f t="shared" ca="1" si="31"/>
        <v>-7</v>
      </c>
      <c r="AR27" s="15">
        <f t="shared" ca="1" si="32"/>
        <v>7.1414284285428504</v>
      </c>
      <c r="AS27" s="16">
        <f t="shared" ca="1" si="33"/>
        <v>7.1414284285428504</v>
      </c>
      <c r="AT27" s="14" t="b">
        <f t="shared" ca="1" si="34"/>
        <v>1</v>
      </c>
      <c r="AU27" s="14" t="b">
        <f t="shared" ca="1" si="35"/>
        <v>1</v>
      </c>
    </row>
    <row r="28" spans="1:47" x14ac:dyDescent="0.25">
      <c r="A28" s="9">
        <v>10</v>
      </c>
      <c r="B28" s="9">
        <f t="shared" si="0"/>
        <v>0.1</v>
      </c>
      <c r="C28" s="15">
        <f t="shared" ca="1" si="1"/>
        <v>32</v>
      </c>
      <c r="D28" s="15">
        <f t="shared" ca="1" si="2"/>
        <v>3.125E-2</v>
      </c>
      <c r="E28" s="16">
        <f t="shared" ca="1" si="3"/>
        <v>3.125E-2</v>
      </c>
      <c r="F28" s="14" t="b">
        <f t="shared" ca="1" si="4"/>
        <v>1</v>
      </c>
      <c r="G28" s="14" t="b">
        <f t="shared" ca="1" si="5"/>
        <v>1</v>
      </c>
      <c r="I28" s="9">
        <v>10</v>
      </c>
      <c r="J28" s="9">
        <f t="shared" si="6"/>
        <v>1</v>
      </c>
      <c r="K28" s="15">
        <f t="shared" ca="1" si="7"/>
        <v>9</v>
      </c>
      <c r="L28" s="15">
        <f t="shared" ca="1" si="8"/>
        <v>0.95440483665601394</v>
      </c>
      <c r="M28" s="16">
        <f t="shared" ca="1" si="9"/>
        <v>0.95424250943932487</v>
      </c>
      <c r="N28" s="14" t="b">
        <f t="shared" ca="1" si="10"/>
        <v>1</v>
      </c>
      <c r="O28" s="14" t="b">
        <f t="shared" ca="1" si="11"/>
        <v>1</v>
      </c>
      <c r="Q28" s="9">
        <v>10</v>
      </c>
      <c r="R28" s="9">
        <f t="shared" si="12"/>
        <v>1000</v>
      </c>
      <c r="S28" s="15">
        <f t="shared" ca="1" si="13"/>
        <v>33</v>
      </c>
      <c r="T28" s="15">
        <f t="shared" ca="1" si="14"/>
        <v>35937</v>
      </c>
      <c r="U28" s="16">
        <f t="shared" ca="1" si="15"/>
        <v>35937</v>
      </c>
      <c r="V28" s="14" t="b">
        <f t="shared" ca="1" si="16"/>
        <v>1</v>
      </c>
      <c r="W28" s="14" t="b">
        <f t="shared" ca="1" si="17"/>
        <v>1</v>
      </c>
      <c r="Y28" s="9">
        <v>10</v>
      </c>
      <c r="Z28" s="9">
        <f t="shared" si="18"/>
        <v>22026.465794806718</v>
      </c>
      <c r="AA28" s="15">
        <f t="shared" ca="1" si="19"/>
        <v>7</v>
      </c>
      <c r="AB28" s="15">
        <f t="shared" ca="1" si="20"/>
        <v>1278.4036039079795</v>
      </c>
      <c r="AC28" s="16">
        <f t="shared" ca="1" si="21"/>
        <v>1096.6331584284585</v>
      </c>
      <c r="AD28" s="14" t="b">
        <f t="shared" ca="1" si="22"/>
        <v>0</v>
      </c>
      <c r="AE28" s="14" t="b">
        <f t="shared" ca="1" si="23"/>
        <v>0</v>
      </c>
      <c r="AG28" s="9">
        <v>10</v>
      </c>
      <c r="AH28" s="9">
        <f t="shared" si="24"/>
        <v>-0.83907152907645244</v>
      </c>
      <c r="AI28" s="15">
        <f t="shared" ca="1" si="25"/>
        <v>31</v>
      </c>
      <c r="AJ28" s="15">
        <f t="shared" ca="1" si="26"/>
        <v>0.66921558966531391</v>
      </c>
      <c r="AK28" s="16">
        <f t="shared" ca="1" si="27"/>
        <v>0.91474235780453128</v>
      </c>
      <c r="AL28" s="14" t="b">
        <f t="shared" ca="1" si="28"/>
        <v>0</v>
      </c>
      <c r="AM28" s="14" t="b">
        <f t="shared" ca="1" si="29"/>
        <v>0</v>
      </c>
      <c r="AO28" s="9">
        <v>-2</v>
      </c>
      <c r="AP28" s="9">
        <f t="shared" si="30"/>
        <v>9.7979589711327115</v>
      </c>
      <c r="AQ28" s="15">
        <f t="shared" ca="1" si="31"/>
        <v>8</v>
      </c>
      <c r="AR28" s="15">
        <f t="shared" ca="1" si="32"/>
        <v>5.7597378572656597</v>
      </c>
      <c r="AS28" s="16">
        <f t="shared" ca="1" si="33"/>
        <v>6</v>
      </c>
      <c r="AT28" s="14" t="b">
        <f t="shared" ca="1" si="34"/>
        <v>0</v>
      </c>
      <c r="AU28" s="14" t="b">
        <f t="shared" ca="1" si="35"/>
        <v>0</v>
      </c>
    </row>
    <row r="29" spans="1:47" x14ac:dyDescent="0.25">
      <c r="A29" s="9">
        <v>12</v>
      </c>
      <c r="B29" s="9">
        <f t="shared" si="0"/>
        <v>8.3333333333333329E-2</v>
      </c>
      <c r="C29" s="15">
        <f t="shared" ca="1" si="1"/>
        <v>37</v>
      </c>
      <c r="D29" s="15">
        <f t="shared" ca="1" si="2"/>
        <v>2.702689628482972E-2</v>
      </c>
      <c r="E29" s="16">
        <f t="shared" ca="1" si="3"/>
        <v>2.7027027027027029E-2</v>
      </c>
      <c r="F29" s="14" t="b">
        <f t="shared" ca="1" si="4"/>
        <v>1</v>
      </c>
      <c r="G29" s="14" t="b">
        <f t="shared" ca="1" si="5"/>
        <v>1</v>
      </c>
      <c r="I29" s="9">
        <v>12</v>
      </c>
      <c r="J29" s="9">
        <f t="shared" si="6"/>
        <v>1.0791812460476249</v>
      </c>
      <c r="K29" s="15">
        <f t="shared" ca="1" si="7"/>
        <v>23</v>
      </c>
      <c r="L29" s="15">
        <f t="shared" ca="1" si="8"/>
        <v>1.3617313724480944</v>
      </c>
      <c r="M29" s="16">
        <f t="shared" ca="1" si="9"/>
        <v>1.3617278360175928</v>
      </c>
      <c r="N29" s="14" t="b">
        <f t="shared" ca="1" si="10"/>
        <v>1</v>
      </c>
      <c r="O29" s="14" t="b">
        <f t="shared" ca="1" si="11"/>
        <v>1</v>
      </c>
      <c r="Q29" s="9">
        <v>12</v>
      </c>
      <c r="R29" s="9">
        <f t="shared" si="12"/>
        <v>1728</v>
      </c>
      <c r="S29" s="15">
        <f t="shared" ca="1" si="13"/>
        <v>10</v>
      </c>
      <c r="T29" s="15">
        <f t="shared" ca="1" si="14"/>
        <v>1000</v>
      </c>
      <c r="U29" s="16">
        <f t="shared" ca="1" si="15"/>
        <v>1000</v>
      </c>
      <c r="V29" s="14" t="b">
        <f t="shared" ca="1" si="16"/>
        <v>1</v>
      </c>
      <c r="W29" s="14" t="b">
        <f t="shared" ca="1" si="17"/>
        <v>1</v>
      </c>
      <c r="Y29" s="9">
        <v>12</v>
      </c>
      <c r="Z29" s="9">
        <f t="shared" si="18"/>
        <v>162754.79141900392</v>
      </c>
      <c r="AA29" s="15">
        <f t="shared" ca="1" si="19"/>
        <v>3</v>
      </c>
      <c r="AB29" s="15">
        <f t="shared" ca="1" si="20"/>
        <v>10.578170674581775</v>
      </c>
      <c r="AC29" s="16">
        <f t="shared" ca="1" si="21"/>
        <v>20.085536923187668</v>
      </c>
      <c r="AD29" s="14" t="b">
        <f t="shared" ca="1" si="22"/>
        <v>0</v>
      </c>
      <c r="AE29" s="14" t="b">
        <f t="shared" ca="1" si="23"/>
        <v>0</v>
      </c>
      <c r="AG29" s="9">
        <v>12</v>
      </c>
      <c r="AH29" s="9">
        <f t="shared" si="24"/>
        <v>0.84385395873249214</v>
      </c>
      <c r="AI29" s="15">
        <f t="shared" ca="1" si="25"/>
        <v>34</v>
      </c>
      <c r="AJ29" s="15">
        <f t="shared" ca="1" si="26"/>
        <v>-0.84857027478460523</v>
      </c>
      <c r="AK29" s="16">
        <f t="shared" ca="1" si="27"/>
        <v>-0.84857027478460523</v>
      </c>
      <c r="AL29" s="14" t="b">
        <f t="shared" ca="1" si="28"/>
        <v>1</v>
      </c>
      <c r="AM29" s="14" t="b">
        <f t="shared" ca="1" si="29"/>
        <v>1</v>
      </c>
      <c r="AO29" s="9">
        <v>0</v>
      </c>
      <c r="AP29" s="9">
        <f t="shared" si="30"/>
        <v>10</v>
      </c>
      <c r="AQ29" s="15">
        <f t="shared" ca="1" si="31"/>
        <v>9</v>
      </c>
      <c r="AR29" s="15">
        <f t="shared" ca="1" si="32"/>
        <v>4.1261104565317668</v>
      </c>
      <c r="AS29" s="16">
        <f t="shared" ca="1" si="33"/>
        <v>4.358898943540674</v>
      </c>
      <c r="AT29" s="14" t="b">
        <f t="shared" ca="1" si="34"/>
        <v>0</v>
      </c>
      <c r="AU29" s="14" t="b">
        <f t="shared" ca="1" si="35"/>
        <v>0</v>
      </c>
    </row>
    <row r="30" spans="1:47" x14ac:dyDescent="0.25">
      <c r="A30" s="9">
        <v>14</v>
      </c>
      <c r="B30" s="9">
        <f t="shared" si="0"/>
        <v>7.1428571428571425E-2</v>
      </c>
      <c r="C30" s="15">
        <f t="shared" ca="1" si="1"/>
        <v>40</v>
      </c>
      <c r="D30" s="15">
        <f t="shared" ca="1" si="2"/>
        <v>2.5000000000000001E-2</v>
      </c>
      <c r="E30" s="16">
        <f t="shared" ca="1" si="3"/>
        <v>2.5000000000000001E-2</v>
      </c>
      <c r="F30" s="14" t="b">
        <f t="shared" ca="1" si="4"/>
        <v>1</v>
      </c>
      <c r="G30" s="14" t="b">
        <f t="shared" ca="1" si="5"/>
        <v>1</v>
      </c>
      <c r="I30" s="9">
        <v>14</v>
      </c>
      <c r="J30" s="9">
        <f t="shared" si="6"/>
        <v>1.146128035678238</v>
      </c>
      <c r="K30" s="15">
        <f t="shared" ca="1" si="7"/>
        <v>5</v>
      </c>
      <c r="L30" s="15">
        <f t="shared" ca="1" si="8"/>
        <v>0.70111132454678315</v>
      </c>
      <c r="M30" s="16">
        <f t="shared" ca="1" si="9"/>
        <v>0.69897000433601886</v>
      </c>
      <c r="N30" s="14" t="b">
        <f t="shared" ca="1" si="10"/>
        <v>1</v>
      </c>
      <c r="O30" s="14" t="b">
        <f t="shared" ca="1" si="11"/>
        <v>0</v>
      </c>
      <c r="Q30" s="9">
        <v>14</v>
      </c>
      <c r="R30" s="9">
        <f t="shared" si="12"/>
        <v>2744</v>
      </c>
      <c r="S30" s="15">
        <f t="shared" ca="1" si="13"/>
        <v>10</v>
      </c>
      <c r="T30" s="15">
        <f t="shared" ca="1" si="14"/>
        <v>1000</v>
      </c>
      <c r="U30" s="16">
        <f t="shared" ca="1" si="15"/>
        <v>1000</v>
      </c>
      <c r="V30" s="14" t="b">
        <f t="shared" ca="1" si="16"/>
        <v>1</v>
      </c>
      <c r="W30" s="14" t="b">
        <f t="shared" ca="1" si="17"/>
        <v>1</v>
      </c>
      <c r="Y30" s="9">
        <v>14</v>
      </c>
      <c r="Z30" s="9">
        <f t="shared" si="18"/>
        <v>1202604.2841647768</v>
      </c>
      <c r="AA30" s="15">
        <f t="shared" ca="1" si="19"/>
        <v>2</v>
      </c>
      <c r="AB30" s="15">
        <f t="shared" ca="1" si="20"/>
        <v>7.3890560989306504</v>
      </c>
      <c r="AC30" s="16">
        <f t="shared" ca="1" si="21"/>
        <v>7.3890560989306504</v>
      </c>
      <c r="AD30" s="14" t="b">
        <f t="shared" ca="1" si="22"/>
        <v>1</v>
      </c>
      <c r="AE30" s="14" t="b">
        <f t="shared" ca="1" si="23"/>
        <v>1</v>
      </c>
      <c r="AG30" s="9">
        <v>14</v>
      </c>
      <c r="AH30" s="9">
        <f t="shared" si="24"/>
        <v>0.13673721820783361</v>
      </c>
      <c r="AI30" s="15">
        <f t="shared" ca="1" si="25"/>
        <v>26</v>
      </c>
      <c r="AJ30" s="15">
        <f t="shared" ca="1" si="26"/>
        <v>0.64691932232864036</v>
      </c>
      <c r="AK30" s="16">
        <f t="shared" ca="1" si="27"/>
        <v>0.64691932232864036</v>
      </c>
      <c r="AL30" s="14" t="b">
        <f t="shared" ca="1" si="28"/>
        <v>1</v>
      </c>
      <c r="AM30" s="14" t="b">
        <f t="shared" ca="1" si="29"/>
        <v>1</v>
      </c>
      <c r="AO30" s="9">
        <v>2</v>
      </c>
      <c r="AP30" s="9">
        <f t="shared" si="30"/>
        <v>9.7979589711327115</v>
      </c>
      <c r="AQ30" s="15">
        <f t="shared" ca="1" si="31"/>
        <v>0</v>
      </c>
      <c r="AR30" s="15">
        <f t="shared" ca="1" si="32"/>
        <v>10</v>
      </c>
      <c r="AS30" s="16">
        <f t="shared" ca="1" si="33"/>
        <v>10</v>
      </c>
      <c r="AT30" s="14" t="b">
        <f t="shared" ca="1" si="34"/>
        <v>1</v>
      </c>
      <c r="AU30" s="14" t="b">
        <f t="shared" ca="1" si="35"/>
        <v>1</v>
      </c>
    </row>
    <row r="31" spans="1:47" x14ac:dyDescent="0.25">
      <c r="A31" s="9">
        <v>16</v>
      </c>
      <c r="B31" s="9">
        <f t="shared" si="0"/>
        <v>6.25E-2</v>
      </c>
      <c r="C31" s="15">
        <f t="shared" ca="1" si="1"/>
        <v>19</v>
      </c>
      <c r="D31" s="15">
        <f t="shared" ca="1" si="2"/>
        <v>5.2627840909090902E-2</v>
      </c>
      <c r="E31" s="16">
        <f t="shared" ca="1" si="3"/>
        <v>5.2631578947368418E-2</v>
      </c>
      <c r="F31" s="14" t="b">
        <f t="shared" ca="1" si="4"/>
        <v>1</v>
      </c>
      <c r="G31" s="14" t="b">
        <f t="shared" ca="1" si="5"/>
        <v>1</v>
      </c>
      <c r="I31" s="9">
        <v>16</v>
      </c>
      <c r="J31" s="9">
        <f t="shared" si="6"/>
        <v>1.2041199826559248</v>
      </c>
      <c r="K31" s="15">
        <f t="shared" ca="1" si="7"/>
        <v>36</v>
      </c>
      <c r="L31" s="15">
        <f t="shared" ca="1" si="8"/>
        <v>1.5563025007672873</v>
      </c>
      <c r="M31" s="16">
        <f t="shared" ca="1" si="9"/>
        <v>1.5563025007672873</v>
      </c>
      <c r="N31" s="14" t="b">
        <f t="shared" ca="1" si="10"/>
        <v>1</v>
      </c>
      <c r="O31" s="14" t="b">
        <f t="shared" ca="1" si="11"/>
        <v>1</v>
      </c>
      <c r="Q31" s="9">
        <v>16</v>
      </c>
      <c r="R31" s="9">
        <f t="shared" si="12"/>
        <v>4096</v>
      </c>
      <c r="S31" s="15">
        <f t="shared" ca="1" si="13"/>
        <v>13</v>
      </c>
      <c r="T31" s="15">
        <f t="shared" ca="1" si="14"/>
        <v>2197</v>
      </c>
      <c r="U31" s="16">
        <f t="shared" ca="1" si="15"/>
        <v>2197</v>
      </c>
      <c r="V31" s="14" t="b">
        <f t="shared" ca="1" si="16"/>
        <v>1</v>
      </c>
      <c r="W31" s="14" t="b">
        <f t="shared" ca="1" si="17"/>
        <v>1</v>
      </c>
      <c r="Y31" s="9">
        <v>16</v>
      </c>
      <c r="Z31" s="9">
        <f t="shared" si="18"/>
        <v>8886110.5205078721</v>
      </c>
      <c r="AA31" s="15">
        <f t="shared" ca="1" si="19"/>
        <v>14</v>
      </c>
      <c r="AB31" s="15">
        <f t="shared" ca="1" si="20"/>
        <v>1202604.2841647768</v>
      </c>
      <c r="AC31" s="16">
        <f t="shared" ca="1" si="21"/>
        <v>1202604.2841647768</v>
      </c>
      <c r="AD31" s="14" t="b">
        <f t="shared" ca="1" si="22"/>
        <v>1</v>
      </c>
      <c r="AE31" s="14" t="b">
        <f t="shared" ca="1" si="23"/>
        <v>1</v>
      </c>
      <c r="AG31" s="9">
        <v>16</v>
      </c>
      <c r="AH31" s="9">
        <f t="shared" si="24"/>
        <v>-0.95765948032338466</v>
      </c>
      <c r="AI31" s="15">
        <f t="shared" ca="1" si="25"/>
        <v>24</v>
      </c>
      <c r="AJ31" s="15">
        <f t="shared" ca="1" si="26"/>
        <v>0.42417900733699698</v>
      </c>
      <c r="AK31" s="16">
        <f t="shared" ca="1" si="27"/>
        <v>0.42417900733699698</v>
      </c>
      <c r="AL31" s="14" t="b">
        <f t="shared" ca="1" si="28"/>
        <v>1</v>
      </c>
      <c r="AM31" s="14" t="b">
        <f t="shared" ca="1" si="29"/>
        <v>1</v>
      </c>
      <c r="AO31" s="9">
        <v>5</v>
      </c>
      <c r="AP31" s="9">
        <f t="shared" si="30"/>
        <v>8.6602540378443873</v>
      </c>
      <c r="AQ31" s="15">
        <f t="shared" ca="1" si="31"/>
        <v>3</v>
      </c>
      <c r="AR31" s="15">
        <f t="shared" ca="1" si="32"/>
        <v>9.4888022632506814</v>
      </c>
      <c r="AS31" s="16">
        <f t="shared" ca="1" si="33"/>
        <v>9.5393920141694561</v>
      </c>
      <c r="AT31" s="14" t="b">
        <f t="shared" ca="1" si="34"/>
        <v>0</v>
      </c>
      <c r="AU31" s="14" t="b">
        <f t="shared" ca="1" si="35"/>
        <v>0</v>
      </c>
    </row>
    <row r="32" spans="1:47" x14ac:dyDescent="0.25">
      <c r="A32" s="9">
        <v>18</v>
      </c>
      <c r="B32" s="9">
        <f t="shared" si="0"/>
        <v>5.5555555555555552E-2</v>
      </c>
      <c r="C32" s="15">
        <f t="shared" ca="1" si="1"/>
        <v>28</v>
      </c>
      <c r="D32" s="15">
        <f t="shared" ca="1" si="2"/>
        <v>3.5714285714285712E-2</v>
      </c>
      <c r="E32" s="16">
        <f t="shared" ca="1" si="3"/>
        <v>3.5714285714285712E-2</v>
      </c>
      <c r="F32" s="14" t="b">
        <f t="shared" ca="1" si="4"/>
        <v>1</v>
      </c>
      <c r="G32" s="14" t="b">
        <f t="shared" ca="1" si="5"/>
        <v>1</v>
      </c>
      <c r="I32" s="9">
        <v>18</v>
      </c>
      <c r="J32" s="9">
        <f t="shared" si="6"/>
        <v>1.255272505103306</v>
      </c>
      <c r="K32" s="15">
        <f t="shared" ca="1" si="7"/>
        <v>23</v>
      </c>
      <c r="L32" s="15">
        <f t="shared" ca="1" si="8"/>
        <v>1.3617313724480944</v>
      </c>
      <c r="M32" s="16">
        <f t="shared" ca="1" si="9"/>
        <v>1.3617278360175928</v>
      </c>
      <c r="N32" s="14" t="b">
        <f t="shared" ca="1" si="10"/>
        <v>1</v>
      </c>
      <c r="O32" s="14" t="b">
        <f t="shared" ca="1" si="11"/>
        <v>1</v>
      </c>
      <c r="Q32" s="9">
        <v>18</v>
      </c>
      <c r="R32" s="9">
        <f t="shared" si="12"/>
        <v>5832</v>
      </c>
      <c r="S32" s="15">
        <f t="shared" ca="1" si="13"/>
        <v>34</v>
      </c>
      <c r="T32" s="15">
        <f t="shared" ca="1" si="14"/>
        <v>39304</v>
      </c>
      <c r="U32" s="16">
        <f t="shared" ca="1" si="15"/>
        <v>39304</v>
      </c>
      <c r="V32" s="14" t="b">
        <f t="shared" ca="1" si="16"/>
        <v>1</v>
      </c>
      <c r="W32" s="14" t="b">
        <f t="shared" ca="1" si="17"/>
        <v>1</v>
      </c>
      <c r="Y32" s="9">
        <v>18</v>
      </c>
      <c r="Z32" s="9">
        <f t="shared" si="18"/>
        <v>65659969.13733051</v>
      </c>
      <c r="AA32" s="15">
        <f t="shared" ca="1" si="19"/>
        <v>34</v>
      </c>
      <c r="AB32" s="15">
        <f t="shared" ca="1" si="20"/>
        <v>583461742527454.87</v>
      </c>
      <c r="AC32" s="16">
        <f t="shared" ca="1" si="21"/>
        <v>583461742527454.87</v>
      </c>
      <c r="AD32" s="14" t="b">
        <f t="shared" ca="1" si="22"/>
        <v>1</v>
      </c>
      <c r="AE32" s="14" t="b">
        <f t="shared" ca="1" si="23"/>
        <v>1</v>
      </c>
      <c r="AG32" s="9">
        <v>18</v>
      </c>
      <c r="AH32" s="9">
        <f t="shared" si="24"/>
        <v>0.66031670824408017</v>
      </c>
      <c r="AI32" s="15">
        <f t="shared" ca="1" si="25"/>
        <v>13</v>
      </c>
      <c r="AJ32" s="15">
        <f t="shared" ca="1" si="26"/>
        <v>0.66387822511642303</v>
      </c>
      <c r="AK32" s="16">
        <f t="shared" ca="1" si="27"/>
        <v>0.90744678145019619</v>
      </c>
      <c r="AL32" s="14" t="b">
        <f t="shared" ca="1" si="28"/>
        <v>0</v>
      </c>
      <c r="AM32" s="14" t="b">
        <f t="shared" ca="1" si="29"/>
        <v>0</v>
      </c>
      <c r="AO32" s="9">
        <v>7</v>
      </c>
      <c r="AP32" s="9">
        <f t="shared" si="30"/>
        <v>7.1414284285428504</v>
      </c>
      <c r="AQ32" s="15">
        <f t="shared" ca="1" si="31"/>
        <v>1</v>
      </c>
      <c r="AR32" s="15">
        <f t="shared" ca="1" si="32"/>
        <v>9.9770789344373405</v>
      </c>
      <c r="AS32" s="16">
        <f t="shared" ca="1" si="33"/>
        <v>9.9498743710661994</v>
      </c>
      <c r="AT32" s="14" t="b">
        <f t="shared" ca="1" si="34"/>
        <v>0</v>
      </c>
      <c r="AU32" s="14" t="b">
        <f t="shared" ca="1" si="35"/>
        <v>0</v>
      </c>
    </row>
    <row r="33" spans="1:47" x14ac:dyDescent="0.25">
      <c r="A33" s="9">
        <v>20</v>
      </c>
      <c r="B33" s="9">
        <f t="shared" si="0"/>
        <v>0.05</v>
      </c>
      <c r="C33" s="15">
        <f t="shared" ca="1" si="1"/>
        <v>5</v>
      </c>
      <c r="D33" s="15">
        <f t="shared" ca="1" si="2"/>
        <v>0.19531250000000003</v>
      </c>
      <c r="E33" s="16">
        <f t="shared" ca="1" si="3"/>
        <v>0.2</v>
      </c>
      <c r="F33" s="14" t="b">
        <f t="shared" ca="1" si="4"/>
        <v>1</v>
      </c>
      <c r="G33" s="14" t="b">
        <f t="shared" ca="1" si="5"/>
        <v>0</v>
      </c>
      <c r="I33" s="9">
        <v>20</v>
      </c>
      <c r="J33" s="9">
        <f t="shared" si="6"/>
        <v>1.3010299956639813</v>
      </c>
      <c r="K33" s="15">
        <f t="shared" ca="1" si="7"/>
        <v>29</v>
      </c>
      <c r="L33" s="15">
        <f t="shared" ca="1" si="8"/>
        <v>1.4623993905166381</v>
      </c>
      <c r="M33" s="16">
        <f t="shared" ca="1" si="9"/>
        <v>1.4623979978989561</v>
      </c>
      <c r="N33" s="14" t="b">
        <f t="shared" ca="1" si="10"/>
        <v>1</v>
      </c>
      <c r="O33" s="14" t="b">
        <f t="shared" ca="1" si="11"/>
        <v>1</v>
      </c>
      <c r="Q33" s="9">
        <v>20</v>
      </c>
      <c r="R33" s="9">
        <f t="shared" si="12"/>
        <v>8000</v>
      </c>
      <c r="S33" s="15">
        <f t="shared" ca="1" si="13"/>
        <v>36</v>
      </c>
      <c r="T33" s="15">
        <f t="shared" ca="1" si="14"/>
        <v>46656</v>
      </c>
      <c r="U33" s="16">
        <f t="shared" ca="1" si="15"/>
        <v>46656</v>
      </c>
      <c r="V33" s="14" t="b">
        <f t="shared" ca="1" si="16"/>
        <v>1</v>
      </c>
      <c r="W33" s="14" t="b">
        <f t="shared" ca="1" si="17"/>
        <v>1</v>
      </c>
      <c r="Y33" s="9">
        <v>20</v>
      </c>
      <c r="Z33" s="9">
        <f t="shared" si="18"/>
        <v>485165195.40979028</v>
      </c>
      <c r="AA33" s="15">
        <f t="shared" ca="1" si="19"/>
        <v>21</v>
      </c>
      <c r="AB33" s="15">
        <f t="shared" ca="1" si="20"/>
        <v>1537413770.1449971</v>
      </c>
      <c r="AC33" s="16">
        <f t="shared" ca="1" si="21"/>
        <v>1318815734.4832146</v>
      </c>
      <c r="AD33" s="14" t="b">
        <f t="shared" ca="1" si="22"/>
        <v>0</v>
      </c>
      <c r="AE33" s="14" t="b">
        <f t="shared" ca="1" si="23"/>
        <v>0</v>
      </c>
      <c r="AG33" s="9">
        <v>20</v>
      </c>
      <c r="AH33" s="9">
        <f t="shared" si="24"/>
        <v>0.40808206181339196</v>
      </c>
      <c r="AI33" s="15">
        <f t="shared" ca="1" si="25"/>
        <v>4</v>
      </c>
      <c r="AJ33" s="15">
        <f t="shared" ca="1" si="26"/>
        <v>-0.65364362086361194</v>
      </c>
      <c r="AK33" s="16">
        <f t="shared" ca="1" si="27"/>
        <v>-0.65364362086361194</v>
      </c>
      <c r="AL33" s="14" t="b">
        <f t="shared" ca="1" si="28"/>
        <v>1</v>
      </c>
      <c r="AM33" s="14" t="b">
        <f t="shared" ca="1" si="29"/>
        <v>1</v>
      </c>
      <c r="AO33" s="9">
        <v>9.5</v>
      </c>
      <c r="AP33" s="9">
        <f t="shared" si="30"/>
        <v>3.1224989991991992</v>
      </c>
      <c r="AQ33" s="15">
        <f t="shared" ca="1" si="31"/>
        <v>-6</v>
      </c>
      <c r="AR33" s="15">
        <f t="shared" ca="1" si="32"/>
        <v>8.1012540025943593</v>
      </c>
      <c r="AS33" s="16">
        <f t="shared" ca="1" si="33"/>
        <v>8</v>
      </c>
      <c r="AT33" s="14" t="b">
        <f t="shared" ca="1" si="34"/>
        <v>0</v>
      </c>
      <c r="AU33" s="14" t="b">
        <f t="shared" ca="1" si="35"/>
        <v>0</v>
      </c>
    </row>
    <row r="34" spans="1:47" x14ac:dyDescent="0.25">
      <c r="A34" s="9">
        <v>22</v>
      </c>
      <c r="B34" s="9">
        <f t="shared" si="0"/>
        <v>4.5454545454545456E-2</v>
      </c>
      <c r="C34" s="15">
        <f t="shared" ca="1" si="1"/>
        <v>31</v>
      </c>
      <c r="D34" s="15">
        <f t="shared" ca="1" si="2"/>
        <v>3.2257746848739499E-2</v>
      </c>
      <c r="E34" s="16">
        <f t="shared" ca="1" si="3"/>
        <v>3.2258064516129031E-2</v>
      </c>
      <c r="F34" s="14" t="b">
        <f t="shared" ca="1" si="4"/>
        <v>1</v>
      </c>
      <c r="G34" s="14" t="b">
        <f t="shared" ca="1" si="5"/>
        <v>1</v>
      </c>
      <c r="I34" s="9">
        <v>22</v>
      </c>
      <c r="J34" s="9">
        <f t="shared" si="6"/>
        <v>1.3424226808222062</v>
      </c>
      <c r="K34" s="15">
        <f t="shared" ca="1" si="7"/>
        <v>33</v>
      </c>
      <c r="L34" s="15">
        <f t="shared" ca="1" si="8"/>
        <v>1.5185147689232814</v>
      </c>
      <c r="M34" s="16">
        <f t="shared" ca="1" si="9"/>
        <v>1.5185139398778875</v>
      </c>
      <c r="N34" s="14" t="b">
        <f t="shared" ca="1" si="10"/>
        <v>1</v>
      </c>
      <c r="O34" s="14" t="b">
        <f t="shared" ca="1" si="11"/>
        <v>1</v>
      </c>
      <c r="Q34" s="9">
        <v>22</v>
      </c>
      <c r="R34" s="9">
        <f t="shared" si="12"/>
        <v>10648</v>
      </c>
      <c r="S34" s="15">
        <f t="shared" ca="1" si="13"/>
        <v>20</v>
      </c>
      <c r="T34" s="15">
        <f t="shared" ca="1" si="14"/>
        <v>8000</v>
      </c>
      <c r="U34" s="16">
        <f t="shared" ca="1" si="15"/>
        <v>8000</v>
      </c>
      <c r="V34" s="14" t="b">
        <f t="shared" ca="1" si="16"/>
        <v>1</v>
      </c>
      <c r="W34" s="14" t="b">
        <f t="shared" ca="1" si="17"/>
        <v>1</v>
      </c>
      <c r="Y34" s="9">
        <v>22</v>
      </c>
      <c r="Z34" s="9">
        <f t="shared" si="18"/>
        <v>3584912846.1315918</v>
      </c>
      <c r="AA34" s="15">
        <f t="shared" ca="1" si="19"/>
        <v>22</v>
      </c>
      <c r="AB34" s="15">
        <f t="shared" ca="1" si="20"/>
        <v>3584912846.1315918</v>
      </c>
      <c r="AC34" s="16">
        <f t="shared" ca="1" si="21"/>
        <v>3584912846.1315918</v>
      </c>
      <c r="AD34" s="14" t="b">
        <f t="shared" ca="1" si="22"/>
        <v>1</v>
      </c>
      <c r="AE34" s="14" t="b">
        <f t="shared" ca="1" si="23"/>
        <v>1</v>
      </c>
      <c r="AG34" s="9">
        <v>22</v>
      </c>
      <c r="AH34" s="9">
        <f t="shared" si="24"/>
        <v>-0.99996082639463713</v>
      </c>
      <c r="AI34" s="15">
        <f t="shared" ca="1" si="25"/>
        <v>24</v>
      </c>
      <c r="AJ34" s="15">
        <f t="shared" ca="1" si="26"/>
        <v>0.42417900733699698</v>
      </c>
      <c r="AK34" s="16">
        <f t="shared" ca="1" si="27"/>
        <v>0.42417900733699698</v>
      </c>
      <c r="AL34" s="14" t="b">
        <f t="shared" ca="1" si="28"/>
        <v>1</v>
      </c>
      <c r="AM34" s="14" t="b">
        <f t="shared" ca="1" si="29"/>
        <v>1</v>
      </c>
      <c r="AO34" s="9">
        <v>10</v>
      </c>
      <c r="AP34" s="9">
        <f t="shared" si="30"/>
        <v>0</v>
      </c>
      <c r="AQ34" s="15">
        <f t="shared" ca="1" si="31"/>
        <v>-7</v>
      </c>
      <c r="AR34" s="15">
        <f t="shared" ca="1" si="32"/>
        <v>7.1414284285428504</v>
      </c>
      <c r="AS34" s="16">
        <f ca="1">SQRT(10^2-AQ34^2)</f>
        <v>7.1414284285428504</v>
      </c>
      <c r="AT34" s="14" t="b">
        <f t="shared" ca="1" si="34"/>
        <v>1</v>
      </c>
      <c r="AU34" s="14" t="b">
        <f t="shared" ca="1" si="35"/>
        <v>1</v>
      </c>
    </row>
    <row r="35" spans="1:47" x14ac:dyDescent="0.25">
      <c r="A35" s="9">
        <v>24</v>
      </c>
      <c r="B35" s="9">
        <f t="shared" si="0"/>
        <v>4.1666666666666664E-2</v>
      </c>
      <c r="C35" s="15">
        <f t="shared" ca="1" si="1"/>
        <v>11</v>
      </c>
      <c r="D35" s="15">
        <f t="shared" ca="1" si="2"/>
        <v>9.0848214285714282E-2</v>
      </c>
      <c r="E35" s="16">
        <f t="shared" ca="1" si="3"/>
        <v>9.0909090909090912E-2</v>
      </c>
      <c r="F35" s="14" t="b">
        <f t="shared" ca="1" si="4"/>
        <v>1</v>
      </c>
      <c r="G35" s="14" t="b">
        <f t="shared" ca="1" si="5"/>
        <v>1</v>
      </c>
      <c r="I35" s="9">
        <v>24</v>
      </c>
      <c r="J35" s="9">
        <f t="shared" si="6"/>
        <v>1.3802112417116059</v>
      </c>
      <c r="K35" s="15">
        <f t="shared" ca="1" si="7"/>
        <v>20</v>
      </c>
      <c r="L35" s="15">
        <f t="shared" ca="1" si="8"/>
        <v>1.3010299956639813</v>
      </c>
      <c r="M35" s="16">
        <f t="shared" ca="1" si="9"/>
        <v>1.3010299956639813</v>
      </c>
      <c r="N35" s="14" t="b">
        <f t="shared" ca="1" si="10"/>
        <v>1</v>
      </c>
      <c r="O35" s="14" t="b">
        <f t="shared" ca="1" si="11"/>
        <v>1</v>
      </c>
      <c r="Q35" s="9">
        <v>24</v>
      </c>
      <c r="R35" s="9">
        <f t="shared" si="12"/>
        <v>13824</v>
      </c>
      <c r="S35" s="15">
        <f t="shared" ca="1" si="13"/>
        <v>11</v>
      </c>
      <c r="T35" s="15">
        <f t="shared" ca="1" si="14"/>
        <v>1331</v>
      </c>
      <c r="U35" s="16">
        <f t="shared" ca="1" si="15"/>
        <v>1331</v>
      </c>
      <c r="V35" s="14" t="b">
        <f t="shared" ca="1" si="16"/>
        <v>1</v>
      </c>
      <c r="W35" s="14" t="b">
        <f t="shared" ca="1" si="17"/>
        <v>1</v>
      </c>
      <c r="Y35" s="9">
        <v>24</v>
      </c>
      <c r="Z35" s="9">
        <f t="shared" si="18"/>
        <v>26489122129.843472</v>
      </c>
      <c r="AA35" s="15">
        <f t="shared" ca="1" si="19"/>
        <v>11</v>
      </c>
      <c r="AB35" s="15">
        <f t="shared" ca="1" si="20"/>
        <v>69798.477178644593</v>
      </c>
      <c r="AC35" s="16">
        <f t="shared" ca="1" si="21"/>
        <v>59874.141715197817</v>
      </c>
      <c r="AD35" s="14" t="b">
        <f t="shared" ca="1" si="22"/>
        <v>0</v>
      </c>
      <c r="AE35" s="14" t="b">
        <f t="shared" ca="1" si="23"/>
        <v>0</v>
      </c>
      <c r="AG35" s="9">
        <v>24</v>
      </c>
      <c r="AH35" s="9">
        <f t="shared" si="24"/>
        <v>0.42417900733699698</v>
      </c>
      <c r="AI35" s="15">
        <f t="shared" ca="1" si="25"/>
        <v>17</v>
      </c>
      <c r="AJ35" s="15">
        <f t="shared" ca="1" si="26"/>
        <v>-0.20130651429593538</v>
      </c>
      <c r="AK35" s="16">
        <f t="shared" ca="1" si="27"/>
        <v>-0.27516333805159693</v>
      </c>
      <c r="AL35" s="14" t="b">
        <f t="shared" ca="1" si="28"/>
        <v>0</v>
      </c>
      <c r="AM35" s="14" t="b">
        <f t="shared" ca="1" si="29"/>
        <v>0</v>
      </c>
      <c r="AO35" s="9">
        <v>-10</v>
      </c>
      <c r="AP35" s="9">
        <f>-SQRT(10^2-AO35^2)</f>
        <v>0</v>
      </c>
      <c r="AQ35" s="15">
        <f ca="1">RANDBETWEEN($AO$35,$AO$45)</f>
        <v>-7</v>
      </c>
      <c r="AR35" s="15">
        <f ca="1">Bezier($AO$35:$AO$45,$AP$35:$AP$45,AQ35,1)</f>
        <v>-7.1414284285428504</v>
      </c>
      <c r="AS35" s="16">
        <f ca="1">-SQRT(10^2-AQ35^2)</f>
        <v>-7.1414284285428504</v>
      </c>
      <c r="AT35" s="14" t="b">
        <f t="shared" ca="1" si="34"/>
        <v>1</v>
      </c>
      <c r="AU35" s="14" t="b">
        <f t="shared" ca="1" si="35"/>
        <v>1</v>
      </c>
    </row>
    <row r="36" spans="1:47" x14ac:dyDescent="0.25">
      <c r="A36" s="9">
        <v>26</v>
      </c>
      <c r="B36" s="9">
        <f t="shared" si="0"/>
        <v>3.8461538461538464E-2</v>
      </c>
      <c r="C36" s="15">
        <f t="shared" ca="1" si="1"/>
        <v>34</v>
      </c>
      <c r="D36" s="15">
        <f t="shared" ca="1" si="2"/>
        <v>2.9411764705882353E-2</v>
      </c>
      <c r="E36" s="16">
        <f t="shared" ca="1" si="3"/>
        <v>2.9411764705882353E-2</v>
      </c>
      <c r="F36" s="14" t="b">
        <f t="shared" ca="1" si="4"/>
        <v>1</v>
      </c>
      <c r="G36" s="14" t="b">
        <f t="shared" ca="1" si="5"/>
        <v>1</v>
      </c>
      <c r="I36" s="9">
        <v>26</v>
      </c>
      <c r="J36" s="9">
        <f t="shared" si="6"/>
        <v>1.414973347970818</v>
      </c>
      <c r="K36" s="15">
        <f t="shared" ca="1" si="7"/>
        <v>22</v>
      </c>
      <c r="L36" s="15">
        <f t="shared" ca="1" si="8"/>
        <v>1.3424226808222062</v>
      </c>
      <c r="M36" s="16">
        <f t="shared" ca="1" si="9"/>
        <v>1.3424226808222062</v>
      </c>
      <c r="N36" s="14" t="b">
        <f t="shared" ca="1" si="10"/>
        <v>1</v>
      </c>
      <c r="O36" s="14" t="b">
        <f t="shared" ca="1" si="11"/>
        <v>1</v>
      </c>
      <c r="Q36" s="9">
        <v>26</v>
      </c>
      <c r="R36" s="9">
        <f t="shared" si="12"/>
        <v>17576</v>
      </c>
      <c r="S36" s="15">
        <f t="shared" ca="1" si="13"/>
        <v>25</v>
      </c>
      <c r="T36" s="15">
        <f t="shared" ca="1" si="14"/>
        <v>15625</v>
      </c>
      <c r="U36" s="16">
        <f t="shared" ca="1" si="15"/>
        <v>15625</v>
      </c>
      <c r="V36" s="14" t="b">
        <f t="shared" ca="1" si="16"/>
        <v>1</v>
      </c>
      <c r="W36" s="14" t="b">
        <f t="shared" ca="1" si="17"/>
        <v>1</v>
      </c>
      <c r="Y36" s="9">
        <v>26</v>
      </c>
      <c r="Z36" s="9">
        <f t="shared" si="18"/>
        <v>195729609428.83878</v>
      </c>
      <c r="AA36" s="15">
        <f t="shared" ca="1" si="19"/>
        <v>16</v>
      </c>
      <c r="AB36" s="15">
        <f t="shared" ca="1" si="20"/>
        <v>8886110.5205078721</v>
      </c>
      <c r="AC36" s="16">
        <f t="shared" ca="1" si="21"/>
        <v>8886110.5205078721</v>
      </c>
      <c r="AD36" s="14" t="b">
        <f t="shared" ca="1" si="22"/>
        <v>1</v>
      </c>
      <c r="AE36" s="14" t="b">
        <f t="shared" ca="1" si="23"/>
        <v>1</v>
      </c>
      <c r="AG36" s="9">
        <v>26</v>
      </c>
      <c r="AH36" s="9">
        <f t="shared" si="24"/>
        <v>0.64691932232864036</v>
      </c>
      <c r="AI36" s="15">
        <f t="shared" ca="1" si="25"/>
        <v>33</v>
      </c>
      <c r="AJ36" s="15">
        <f t="shared" ca="1" si="26"/>
        <v>-9.7131242976896542E-3</v>
      </c>
      <c r="AK36" s="16">
        <f t="shared" ca="1" si="27"/>
        <v>-1.3276747223059479E-2</v>
      </c>
      <c r="AL36" s="14" t="b">
        <f t="shared" ca="1" si="28"/>
        <v>1</v>
      </c>
      <c r="AM36" s="14" t="b">
        <f t="shared" ca="1" si="29"/>
        <v>0</v>
      </c>
      <c r="AO36" s="9">
        <v>-9.5</v>
      </c>
      <c r="AP36" s="9">
        <f t="shared" ref="AP36:AP45" si="36">-SQRT(10^2-AO36^2)</f>
        <v>-3.1224989991991992</v>
      </c>
      <c r="AQ36" s="15">
        <f t="shared" ref="AQ36:AQ45" ca="1" si="37">RANDBETWEEN($AO$35,$AO$45)</f>
        <v>10</v>
      </c>
      <c r="AR36" s="15">
        <f t="shared" ref="AR36:AR45" ca="1" si="38">Bezier($AO$35:$AO$45,$AP$35:$AP$45,AQ36,1)</f>
        <v>0</v>
      </c>
      <c r="AS36" s="16">
        <f t="shared" ref="AS36:AS45" ca="1" si="39">-SQRT(10^2-AQ36^2)</f>
        <v>0</v>
      </c>
      <c r="AT36" s="14" t="b">
        <f t="shared" ca="1" si="34"/>
        <v>1</v>
      </c>
      <c r="AU36" s="14" t="b">
        <f t="shared" ca="1" si="35"/>
        <v>1</v>
      </c>
    </row>
    <row r="37" spans="1:47" x14ac:dyDescent="0.25">
      <c r="A37" s="9">
        <v>28</v>
      </c>
      <c r="B37" s="9">
        <f t="shared" si="0"/>
        <v>3.5714285714285712E-2</v>
      </c>
      <c r="C37" s="15">
        <f t="shared" ca="1" si="1"/>
        <v>29</v>
      </c>
      <c r="D37" s="15">
        <f t="shared" ca="1" si="2"/>
        <v>3.4482314560439563E-2</v>
      </c>
      <c r="E37" s="16">
        <f t="shared" ca="1" si="3"/>
        <v>3.4482758620689655E-2</v>
      </c>
      <c r="F37" s="14" t="b">
        <f t="shared" ca="1" si="4"/>
        <v>1</v>
      </c>
      <c r="G37" s="14" t="b">
        <f t="shared" ca="1" si="5"/>
        <v>1</v>
      </c>
      <c r="I37" s="9">
        <v>28</v>
      </c>
      <c r="J37" s="9">
        <f t="shared" si="6"/>
        <v>1.4471580313422192</v>
      </c>
      <c r="K37" s="15">
        <f t="shared" ca="1" si="7"/>
        <v>18</v>
      </c>
      <c r="L37" s="15">
        <f t="shared" ca="1" si="8"/>
        <v>1.255272505103306</v>
      </c>
      <c r="M37" s="16">
        <f t="shared" ca="1" si="9"/>
        <v>1.255272505103306</v>
      </c>
      <c r="N37" s="14" t="b">
        <f t="shared" ca="1" si="10"/>
        <v>1</v>
      </c>
      <c r="O37" s="14" t="b">
        <f t="shared" ca="1" si="11"/>
        <v>1</v>
      </c>
      <c r="Q37" s="9">
        <v>28</v>
      </c>
      <c r="R37" s="9">
        <f t="shared" si="12"/>
        <v>21952</v>
      </c>
      <c r="S37" s="15">
        <f t="shared" ca="1" si="13"/>
        <v>9</v>
      </c>
      <c r="T37" s="15">
        <f t="shared" ca="1" si="14"/>
        <v>729</v>
      </c>
      <c r="U37" s="16">
        <f t="shared" ca="1" si="15"/>
        <v>729</v>
      </c>
      <c r="V37" s="14" t="b">
        <f t="shared" ca="1" si="16"/>
        <v>1</v>
      </c>
      <c r="W37" s="14" t="b">
        <f t="shared" ca="1" si="17"/>
        <v>1</v>
      </c>
      <c r="Y37" s="9">
        <v>28</v>
      </c>
      <c r="Z37" s="9">
        <f t="shared" si="18"/>
        <v>1446257064291.4751</v>
      </c>
      <c r="AA37" s="15">
        <f t="shared" ca="1" si="19"/>
        <v>4</v>
      </c>
      <c r="AB37" s="15">
        <f t="shared" ca="1" si="20"/>
        <v>54.598150033144236</v>
      </c>
      <c r="AC37" s="16">
        <f t="shared" ca="1" si="21"/>
        <v>54.598150033144236</v>
      </c>
      <c r="AD37" s="14" t="b">
        <f t="shared" ca="1" si="22"/>
        <v>1</v>
      </c>
      <c r="AE37" s="14" t="b">
        <f t="shared" ca="1" si="23"/>
        <v>1</v>
      </c>
      <c r="AG37" s="9">
        <v>28</v>
      </c>
      <c r="AH37" s="9">
        <f t="shared" si="24"/>
        <v>-0.96260586631356659</v>
      </c>
      <c r="AI37" s="15">
        <f t="shared" ca="1" si="25"/>
        <v>32</v>
      </c>
      <c r="AJ37" s="15">
        <f t="shared" ca="1" si="26"/>
        <v>0.83422336050651025</v>
      </c>
      <c r="AK37" s="16">
        <f t="shared" ca="1" si="27"/>
        <v>0.83422336050651025</v>
      </c>
      <c r="AL37" s="14" t="b">
        <f t="shared" ca="1" si="28"/>
        <v>1</v>
      </c>
      <c r="AM37" s="14" t="b">
        <f t="shared" ca="1" si="29"/>
        <v>1</v>
      </c>
      <c r="AO37" s="9">
        <v>-7</v>
      </c>
      <c r="AP37" s="9">
        <f t="shared" si="36"/>
        <v>-7.1414284285428504</v>
      </c>
      <c r="AQ37" s="15">
        <f t="shared" ca="1" si="37"/>
        <v>4</v>
      </c>
      <c r="AR37" s="15">
        <f t="shared" ca="1" si="38"/>
        <v>-9.1164930988617154</v>
      </c>
      <c r="AS37" s="16">
        <f t="shared" ca="1" si="39"/>
        <v>-9.1651513899116797</v>
      </c>
      <c r="AT37" s="14" t="b">
        <f t="shared" ca="1" si="34"/>
        <v>0</v>
      </c>
      <c r="AU37" s="14" t="b">
        <f t="shared" ca="1" si="35"/>
        <v>0</v>
      </c>
    </row>
    <row r="38" spans="1:47" x14ac:dyDescent="0.25">
      <c r="A38" s="9">
        <v>30</v>
      </c>
      <c r="B38" s="9">
        <f t="shared" si="0"/>
        <v>3.3333333333333333E-2</v>
      </c>
      <c r="C38" s="15">
        <f t="shared" ca="1" si="1"/>
        <v>38</v>
      </c>
      <c r="D38" s="15">
        <f t="shared" ca="1" si="2"/>
        <v>2.6315789473684209E-2</v>
      </c>
      <c r="E38" s="16">
        <f t="shared" ca="1" si="3"/>
        <v>2.6315789473684209E-2</v>
      </c>
      <c r="F38" s="14" t="b">
        <f t="shared" ca="1" si="4"/>
        <v>1</v>
      </c>
      <c r="G38" s="14" t="b">
        <f t="shared" ca="1" si="5"/>
        <v>1</v>
      </c>
      <c r="I38" s="9">
        <v>30</v>
      </c>
      <c r="J38" s="9">
        <f t="shared" si="6"/>
        <v>1.4771212547196624</v>
      </c>
      <c r="K38" s="15">
        <f t="shared" ca="1" si="7"/>
        <v>8</v>
      </c>
      <c r="L38" s="15">
        <f t="shared" ca="1" si="8"/>
        <v>0.90308998699194354</v>
      </c>
      <c r="M38" s="16">
        <f t="shared" ca="1" si="9"/>
        <v>0.90308998699194354</v>
      </c>
      <c r="N38" s="14" t="b">
        <f t="shared" ca="1" si="10"/>
        <v>1</v>
      </c>
      <c r="O38" s="14" t="b">
        <f t="shared" ca="1" si="11"/>
        <v>1</v>
      </c>
      <c r="Q38" s="9">
        <v>30</v>
      </c>
      <c r="R38" s="9">
        <f t="shared" si="12"/>
        <v>27000</v>
      </c>
      <c r="S38" s="15">
        <f t="shared" ca="1" si="13"/>
        <v>23</v>
      </c>
      <c r="T38" s="15">
        <f t="shared" ca="1" si="14"/>
        <v>12167</v>
      </c>
      <c r="U38" s="16">
        <f t="shared" ca="1" si="15"/>
        <v>12167</v>
      </c>
      <c r="V38" s="14" t="b">
        <f t="shared" ca="1" si="16"/>
        <v>1</v>
      </c>
      <c r="W38" s="14" t="b">
        <f t="shared" ca="1" si="17"/>
        <v>1</v>
      </c>
      <c r="Y38" s="9">
        <v>30</v>
      </c>
      <c r="Z38" s="9">
        <f t="shared" si="18"/>
        <v>10686474581524.463</v>
      </c>
      <c r="AA38" s="15">
        <f t="shared" ca="1" si="19"/>
        <v>23</v>
      </c>
      <c r="AB38" s="15">
        <f t="shared" ca="1" si="20"/>
        <v>11360036594.869856</v>
      </c>
      <c r="AC38" s="16">
        <f t="shared" ca="1" si="21"/>
        <v>9744803446.2489033</v>
      </c>
      <c r="AD38" s="14" t="b">
        <f t="shared" ca="1" si="22"/>
        <v>0</v>
      </c>
      <c r="AE38" s="14" t="b">
        <f t="shared" ca="1" si="23"/>
        <v>0</v>
      </c>
      <c r="AG38" s="9">
        <v>30</v>
      </c>
      <c r="AH38" s="9">
        <f t="shared" si="24"/>
        <v>0.15425144988758405</v>
      </c>
      <c r="AI38" s="15">
        <f t="shared" ca="1" si="25"/>
        <v>9</v>
      </c>
      <c r="AJ38" s="15">
        <f t="shared" ca="1" si="26"/>
        <v>-0.66657301945927827</v>
      </c>
      <c r="AK38" s="16">
        <f t="shared" ca="1" si="27"/>
        <v>-0.91113026188467694</v>
      </c>
      <c r="AL38" s="14" t="b">
        <f t="shared" ca="1" si="28"/>
        <v>0</v>
      </c>
      <c r="AM38" s="14" t="b">
        <f t="shared" ca="1" si="29"/>
        <v>0</v>
      </c>
      <c r="AO38" s="9">
        <v>-5</v>
      </c>
      <c r="AP38" s="9">
        <f t="shared" si="36"/>
        <v>-8.6602540378443873</v>
      </c>
      <c r="AQ38" s="15">
        <f t="shared" ca="1" si="37"/>
        <v>-9</v>
      </c>
      <c r="AR38" s="15">
        <f t="shared" ca="1" si="38"/>
        <v>-4.1261104565317668</v>
      </c>
      <c r="AS38" s="16">
        <f t="shared" ca="1" si="39"/>
        <v>-4.358898943540674</v>
      </c>
      <c r="AT38" s="14" t="b">
        <f t="shared" ca="1" si="34"/>
        <v>0</v>
      </c>
      <c r="AU38" s="14" t="b">
        <f t="shared" ca="1" si="35"/>
        <v>0</v>
      </c>
    </row>
    <row r="39" spans="1:47" x14ac:dyDescent="0.25">
      <c r="A39" s="9">
        <v>32</v>
      </c>
      <c r="B39" s="9">
        <f t="shared" si="0"/>
        <v>3.125E-2</v>
      </c>
      <c r="C39" s="15">
        <f t="shared" ca="1" si="1"/>
        <v>22</v>
      </c>
      <c r="D39" s="15">
        <f t="shared" ca="1" si="2"/>
        <v>4.5454545454545456E-2</v>
      </c>
      <c r="E39" s="16">
        <f t="shared" ca="1" si="3"/>
        <v>4.5454545454545456E-2</v>
      </c>
      <c r="F39" s="14" t="b">
        <f t="shared" ca="1" si="4"/>
        <v>1</v>
      </c>
      <c r="G39" s="14" t="b">
        <f t="shared" ca="1" si="5"/>
        <v>1</v>
      </c>
      <c r="I39" s="9">
        <v>32</v>
      </c>
      <c r="J39" s="9">
        <f t="shared" si="6"/>
        <v>1.505149978319906</v>
      </c>
      <c r="K39" s="15">
        <f t="shared" ca="1" si="7"/>
        <v>12</v>
      </c>
      <c r="L39" s="15">
        <f t="shared" ca="1" si="8"/>
        <v>1.0791812460476249</v>
      </c>
      <c r="M39" s="16">
        <f t="shared" ca="1" si="9"/>
        <v>1.0791812460476249</v>
      </c>
      <c r="N39" s="14" t="b">
        <f t="shared" ca="1" si="10"/>
        <v>1</v>
      </c>
      <c r="O39" s="14" t="b">
        <f t="shared" ca="1" si="11"/>
        <v>1</v>
      </c>
      <c r="Q39" s="9">
        <v>32</v>
      </c>
      <c r="R39" s="9">
        <f t="shared" si="12"/>
        <v>32768</v>
      </c>
      <c r="S39" s="15">
        <f t="shared" ca="1" si="13"/>
        <v>2</v>
      </c>
      <c r="T39" s="15">
        <f t="shared" ca="1" si="14"/>
        <v>8</v>
      </c>
      <c r="U39" s="16">
        <f t="shared" ca="1" si="15"/>
        <v>8</v>
      </c>
      <c r="V39" s="14" t="b">
        <f t="shared" ca="1" si="16"/>
        <v>1</v>
      </c>
      <c r="W39" s="14" t="b">
        <f t="shared" ca="1" si="17"/>
        <v>1</v>
      </c>
      <c r="Y39" s="9">
        <v>32</v>
      </c>
      <c r="Z39" s="9">
        <f t="shared" si="18"/>
        <v>78962960182680.687</v>
      </c>
      <c r="AA39" s="15">
        <f t="shared" ca="1" si="19"/>
        <v>27</v>
      </c>
      <c r="AB39" s="15">
        <f t="shared" ca="1" si="20"/>
        <v>620236982388.71326</v>
      </c>
      <c r="AC39" s="16">
        <f t="shared" ca="1" si="21"/>
        <v>532048240601.79865</v>
      </c>
      <c r="AD39" s="14" t="b">
        <f t="shared" ca="1" si="22"/>
        <v>0</v>
      </c>
      <c r="AE39" s="14" t="b">
        <f t="shared" ca="1" si="23"/>
        <v>0</v>
      </c>
      <c r="AG39" s="9">
        <v>32</v>
      </c>
      <c r="AH39" s="9">
        <f t="shared" si="24"/>
        <v>0.83422336050651025</v>
      </c>
      <c r="AI39" s="15">
        <f t="shared" ca="1" si="25"/>
        <v>13</v>
      </c>
      <c r="AJ39" s="15">
        <f t="shared" ca="1" si="26"/>
        <v>0.66387822511642303</v>
      </c>
      <c r="AK39" s="16">
        <f t="shared" ca="1" si="27"/>
        <v>0.90744678145019619</v>
      </c>
      <c r="AL39" s="14" t="b">
        <f t="shared" ca="1" si="28"/>
        <v>0</v>
      </c>
      <c r="AM39" s="14" t="b">
        <f t="shared" ca="1" si="29"/>
        <v>0</v>
      </c>
      <c r="AO39" s="9">
        <v>-2</v>
      </c>
      <c r="AP39" s="9">
        <f t="shared" si="36"/>
        <v>-9.7979589711327115</v>
      </c>
      <c r="AQ39" s="15">
        <f t="shared" ca="1" si="37"/>
        <v>3</v>
      </c>
      <c r="AR39" s="15">
        <f t="shared" ca="1" si="38"/>
        <v>-9.4888022632506814</v>
      </c>
      <c r="AS39" s="16">
        <f t="shared" ca="1" si="39"/>
        <v>-9.5393920141694561</v>
      </c>
      <c r="AT39" s="14" t="b">
        <f t="shared" ca="1" si="34"/>
        <v>0</v>
      </c>
      <c r="AU39" s="14" t="b">
        <f t="shared" ca="1" si="35"/>
        <v>0</v>
      </c>
    </row>
    <row r="40" spans="1:47" x14ac:dyDescent="0.25">
      <c r="A40" s="9">
        <v>34</v>
      </c>
      <c r="B40" s="9">
        <f t="shared" si="0"/>
        <v>2.9411764705882353E-2</v>
      </c>
      <c r="C40" s="15">
        <f t="shared" ca="1" si="1"/>
        <v>20</v>
      </c>
      <c r="D40" s="15">
        <f t="shared" ca="1" si="2"/>
        <v>0.05</v>
      </c>
      <c r="E40" s="16">
        <f t="shared" ca="1" si="3"/>
        <v>0.05</v>
      </c>
      <c r="F40" s="14" t="b">
        <f t="shared" ca="1" si="4"/>
        <v>1</v>
      </c>
      <c r="G40" s="14" t="b">
        <f t="shared" ca="1" si="5"/>
        <v>1</v>
      </c>
      <c r="I40" s="9">
        <v>34</v>
      </c>
      <c r="J40" s="9">
        <f t="shared" si="6"/>
        <v>1.5314789170422551</v>
      </c>
      <c r="K40" s="15">
        <f t="shared" ca="1" si="7"/>
        <v>39</v>
      </c>
      <c r="L40" s="15">
        <f t="shared" ca="1" si="8"/>
        <v>1.5910033348791319</v>
      </c>
      <c r="M40" s="16">
        <f t="shared" ca="1" si="9"/>
        <v>1.5910646070264991</v>
      </c>
      <c r="N40" s="14" t="b">
        <f t="shared" ca="1" si="10"/>
        <v>1</v>
      </c>
      <c r="O40" s="14" t="b">
        <f t="shared" ca="1" si="11"/>
        <v>1</v>
      </c>
      <c r="Q40" s="9">
        <v>34</v>
      </c>
      <c r="R40" s="9">
        <f t="shared" si="12"/>
        <v>39304</v>
      </c>
      <c r="S40" s="15">
        <f t="shared" ca="1" si="13"/>
        <v>3</v>
      </c>
      <c r="T40" s="15">
        <f t="shared" ca="1" si="14"/>
        <v>29.502183406113534</v>
      </c>
      <c r="U40" s="16">
        <f t="shared" ca="1" si="15"/>
        <v>27</v>
      </c>
      <c r="V40" s="14" t="b">
        <f t="shared" ca="1" si="16"/>
        <v>0</v>
      </c>
      <c r="W40" s="14" t="b">
        <f t="shared" ca="1" si="17"/>
        <v>0</v>
      </c>
      <c r="Y40" s="9">
        <v>34</v>
      </c>
      <c r="Z40" s="9">
        <f t="shared" si="18"/>
        <v>583461742527454.87</v>
      </c>
      <c r="AA40" s="15">
        <f t="shared" ca="1" si="19"/>
        <v>25</v>
      </c>
      <c r="AB40" s="15">
        <f t="shared" ca="1" si="20"/>
        <v>83939947685.398483</v>
      </c>
      <c r="AC40" s="16">
        <f t="shared" ca="1" si="21"/>
        <v>72004899337.38588</v>
      </c>
      <c r="AD40" s="14" t="b">
        <f t="shared" ca="1" si="22"/>
        <v>0</v>
      </c>
      <c r="AE40" s="14" t="b">
        <f t="shared" ca="1" si="23"/>
        <v>0</v>
      </c>
      <c r="AG40" s="9">
        <v>34</v>
      </c>
      <c r="AH40" s="9">
        <f t="shared" si="24"/>
        <v>-0.84857027478460523</v>
      </c>
      <c r="AI40" s="15">
        <f t="shared" ca="1" si="25"/>
        <v>27</v>
      </c>
      <c r="AJ40" s="15">
        <f t="shared" ca="1" si="26"/>
        <v>-0.21372558456805735</v>
      </c>
      <c r="AK40" s="16">
        <f t="shared" ca="1" si="27"/>
        <v>-0.29213880873383619</v>
      </c>
      <c r="AL40" s="14" t="b">
        <f t="shared" ca="1" si="28"/>
        <v>0</v>
      </c>
      <c r="AM40" s="14" t="b">
        <f t="shared" ca="1" si="29"/>
        <v>0</v>
      </c>
      <c r="AO40" s="9">
        <v>0</v>
      </c>
      <c r="AP40" s="9">
        <f t="shared" si="36"/>
        <v>-10</v>
      </c>
      <c r="AQ40" s="15">
        <f t="shared" ca="1" si="37"/>
        <v>0</v>
      </c>
      <c r="AR40" s="15">
        <f t="shared" ca="1" si="38"/>
        <v>-10</v>
      </c>
      <c r="AS40" s="16">
        <f t="shared" ca="1" si="39"/>
        <v>-10</v>
      </c>
      <c r="AT40" s="14" t="b">
        <f t="shared" ca="1" si="34"/>
        <v>1</v>
      </c>
      <c r="AU40" s="14" t="b">
        <f t="shared" ca="1" si="35"/>
        <v>1</v>
      </c>
    </row>
    <row r="41" spans="1:47" x14ac:dyDescent="0.25">
      <c r="A41" s="9">
        <v>36</v>
      </c>
      <c r="B41" s="9">
        <f t="shared" si="0"/>
        <v>2.7777777777777776E-2</v>
      </c>
      <c r="C41" s="15">
        <f t="shared" ca="1" si="1"/>
        <v>33</v>
      </c>
      <c r="D41" s="15">
        <f t="shared" ca="1" si="2"/>
        <v>3.0302798202614379E-2</v>
      </c>
      <c r="E41" s="16">
        <f t="shared" ca="1" si="3"/>
        <v>3.0303030303030304E-2</v>
      </c>
      <c r="F41" s="14" t="b">
        <f t="shared" ca="1" si="4"/>
        <v>1</v>
      </c>
      <c r="G41" s="14" t="b">
        <f t="shared" ca="1" si="5"/>
        <v>1</v>
      </c>
      <c r="I41" s="9">
        <v>36</v>
      </c>
      <c r="J41" s="9">
        <f t="shared" si="6"/>
        <v>1.5563025007672873</v>
      </c>
      <c r="K41" s="15">
        <f t="shared" ca="1" si="7"/>
        <v>33</v>
      </c>
      <c r="L41" s="15">
        <f t="shared" ca="1" si="8"/>
        <v>1.5185147689232814</v>
      </c>
      <c r="M41" s="16">
        <f t="shared" ca="1" si="9"/>
        <v>1.5185139398778875</v>
      </c>
      <c r="N41" s="14" t="b">
        <f t="shared" ca="1" si="10"/>
        <v>1</v>
      </c>
      <c r="O41" s="14" t="b">
        <f t="shared" ca="1" si="11"/>
        <v>1</v>
      </c>
      <c r="Q41" s="9">
        <v>36</v>
      </c>
      <c r="R41" s="9">
        <f t="shared" si="12"/>
        <v>46656</v>
      </c>
      <c r="S41" s="15">
        <f t="shared" ca="1" si="13"/>
        <v>22</v>
      </c>
      <c r="T41" s="15">
        <f t="shared" ca="1" si="14"/>
        <v>10648</v>
      </c>
      <c r="U41" s="16">
        <f t="shared" ca="1" si="15"/>
        <v>10648</v>
      </c>
      <c r="V41" s="14" t="b">
        <f t="shared" ca="1" si="16"/>
        <v>1</v>
      </c>
      <c r="W41" s="14" t="b">
        <f t="shared" ca="1" si="17"/>
        <v>1</v>
      </c>
      <c r="Y41" s="9">
        <v>36</v>
      </c>
      <c r="Z41" s="9">
        <f t="shared" si="18"/>
        <v>4311231547115195</v>
      </c>
      <c r="AA41" s="15">
        <f t="shared" ca="1" si="19"/>
        <v>13</v>
      </c>
      <c r="AB41" s="15">
        <f t="shared" ca="1" si="20"/>
        <v>515744.86350610427</v>
      </c>
      <c r="AC41" s="16">
        <f t="shared" ca="1" si="21"/>
        <v>442413.39200892049</v>
      </c>
      <c r="AD41" s="14" t="b">
        <f t="shared" ca="1" si="22"/>
        <v>0</v>
      </c>
      <c r="AE41" s="14" t="b">
        <f t="shared" ca="1" si="23"/>
        <v>0</v>
      </c>
      <c r="AG41" s="9">
        <v>36</v>
      </c>
      <c r="AH41" s="9">
        <f t="shared" si="24"/>
        <v>-0.12796368962740468</v>
      </c>
      <c r="AI41" s="15">
        <f t="shared" ca="1" si="25"/>
        <v>22</v>
      </c>
      <c r="AJ41" s="15">
        <f t="shared" ca="1" si="26"/>
        <v>-0.99996082639463713</v>
      </c>
      <c r="AK41" s="16">
        <f t="shared" ca="1" si="27"/>
        <v>-0.99996082639463713</v>
      </c>
      <c r="AL41" s="14" t="b">
        <f t="shared" ca="1" si="28"/>
        <v>1</v>
      </c>
      <c r="AM41" s="14" t="b">
        <f t="shared" ca="1" si="29"/>
        <v>1</v>
      </c>
      <c r="AO41" s="9">
        <v>2</v>
      </c>
      <c r="AP41" s="9">
        <f t="shared" si="36"/>
        <v>-9.7979589711327115</v>
      </c>
      <c r="AQ41" s="15">
        <f t="shared" ca="1" si="37"/>
        <v>4</v>
      </c>
      <c r="AR41" s="15">
        <f t="shared" ca="1" si="38"/>
        <v>-9.1164930988617154</v>
      </c>
      <c r="AS41" s="16">
        <f t="shared" ca="1" si="39"/>
        <v>-9.1651513899116797</v>
      </c>
      <c r="AT41" s="14" t="b">
        <f t="shared" ca="1" si="34"/>
        <v>0</v>
      </c>
      <c r="AU41" s="14" t="b">
        <f t="shared" ca="1" si="35"/>
        <v>0</v>
      </c>
    </row>
    <row r="42" spans="1:47" x14ac:dyDescent="0.25">
      <c r="A42" s="9">
        <v>38</v>
      </c>
      <c r="B42" s="9">
        <f t="shared" si="0"/>
        <v>2.6315789473684209E-2</v>
      </c>
      <c r="C42" s="15">
        <f t="shared" ca="1" si="1"/>
        <v>8</v>
      </c>
      <c r="D42" s="15">
        <f t="shared" ca="1" si="2"/>
        <v>0.125</v>
      </c>
      <c r="E42" s="16">
        <f t="shared" ca="1" si="3"/>
        <v>0.125</v>
      </c>
      <c r="F42" s="14" t="b">
        <f t="shared" ca="1" si="4"/>
        <v>1</v>
      </c>
      <c r="G42" s="14" t="b">
        <f t="shared" ca="1" si="5"/>
        <v>1</v>
      </c>
      <c r="I42" s="9">
        <v>38</v>
      </c>
      <c r="J42" s="9">
        <f t="shared" si="6"/>
        <v>1.5797835966168101</v>
      </c>
      <c r="K42" s="15">
        <f t="shared" ca="1" si="7"/>
        <v>37</v>
      </c>
      <c r="L42" s="15">
        <f t="shared" ca="1" si="8"/>
        <v>1.5682022480054163</v>
      </c>
      <c r="M42" s="16">
        <f t="shared" ca="1" si="9"/>
        <v>1.568201724066995</v>
      </c>
      <c r="N42" s="14" t="b">
        <f t="shared" ca="1" si="10"/>
        <v>1</v>
      </c>
      <c r="O42" s="14" t="b">
        <f t="shared" ca="1" si="11"/>
        <v>1</v>
      </c>
      <c r="Q42" s="9">
        <v>38</v>
      </c>
      <c r="R42" s="9">
        <f t="shared" si="12"/>
        <v>54872</v>
      </c>
      <c r="S42" s="15">
        <f t="shared" ca="1" si="13"/>
        <v>26</v>
      </c>
      <c r="T42" s="15">
        <f t="shared" ca="1" si="14"/>
        <v>17576</v>
      </c>
      <c r="U42" s="16">
        <f t="shared" ca="1" si="15"/>
        <v>17576</v>
      </c>
      <c r="V42" s="14" t="b">
        <f t="shared" ca="1" si="16"/>
        <v>1</v>
      </c>
      <c r="W42" s="14" t="b">
        <f t="shared" ca="1" si="17"/>
        <v>1</v>
      </c>
      <c r="Y42" s="9">
        <v>38</v>
      </c>
      <c r="Z42" s="9">
        <f t="shared" si="18"/>
        <v>3.1855931757113756E+16</v>
      </c>
      <c r="AA42" s="15">
        <f t="shared" ca="1" si="19"/>
        <v>23</v>
      </c>
      <c r="AB42" s="15">
        <f t="shared" ca="1" si="20"/>
        <v>11360036594.869856</v>
      </c>
      <c r="AC42" s="16">
        <f t="shared" ca="1" si="21"/>
        <v>9744803446.2489033</v>
      </c>
      <c r="AD42" s="14" t="b">
        <f t="shared" ca="1" si="22"/>
        <v>0</v>
      </c>
      <c r="AE42" s="14" t="b">
        <f t="shared" ca="1" si="23"/>
        <v>0</v>
      </c>
      <c r="AG42" s="9">
        <v>38</v>
      </c>
      <c r="AH42" s="9">
        <f t="shared" si="24"/>
        <v>0.95507364404729489</v>
      </c>
      <c r="AI42" s="15">
        <f t="shared" ca="1" si="25"/>
        <v>8</v>
      </c>
      <c r="AJ42" s="15">
        <f t="shared" ca="1" si="26"/>
        <v>-0.14550003380861354</v>
      </c>
      <c r="AK42" s="16">
        <f t="shared" ca="1" si="27"/>
        <v>-0.14550003380861354</v>
      </c>
      <c r="AL42" s="14" t="b">
        <f t="shared" ca="1" si="28"/>
        <v>1</v>
      </c>
      <c r="AM42" s="14" t="b">
        <f t="shared" ca="1" si="29"/>
        <v>1</v>
      </c>
      <c r="AO42" s="9">
        <v>5</v>
      </c>
      <c r="AP42" s="9">
        <f t="shared" si="36"/>
        <v>-8.6602540378443873</v>
      </c>
      <c r="AQ42" s="15">
        <f t="shared" ca="1" si="37"/>
        <v>-7</v>
      </c>
      <c r="AR42" s="15">
        <f t="shared" ca="1" si="38"/>
        <v>-7.1414284285428504</v>
      </c>
      <c r="AS42" s="16">
        <f t="shared" ca="1" si="39"/>
        <v>-7.1414284285428504</v>
      </c>
      <c r="AT42" s="14" t="b">
        <f t="shared" ca="1" si="34"/>
        <v>1</v>
      </c>
      <c r="AU42" s="14" t="b">
        <f t="shared" ca="1" si="35"/>
        <v>1</v>
      </c>
    </row>
    <row r="43" spans="1:47" x14ac:dyDescent="0.25">
      <c r="A43" s="9">
        <v>40</v>
      </c>
      <c r="B43" s="9">
        <f t="shared" si="0"/>
        <v>2.5000000000000001E-2</v>
      </c>
      <c r="C43" s="15">
        <f t="shared" ca="1" si="1"/>
        <v>8</v>
      </c>
      <c r="D43" s="15">
        <f t="shared" ca="1" si="2"/>
        <v>0.125</v>
      </c>
      <c r="E43" s="16">
        <f t="shared" ca="1" si="3"/>
        <v>0.125</v>
      </c>
      <c r="F43" s="14" t="b">
        <f t="shared" ca="1" si="4"/>
        <v>1</v>
      </c>
      <c r="G43" s="14" t="b">
        <f t="shared" ca="1" si="5"/>
        <v>1</v>
      </c>
      <c r="I43" s="9">
        <v>40</v>
      </c>
      <c r="J43" s="9">
        <f t="shared" si="6"/>
        <v>1.6020599913279623</v>
      </c>
      <c r="K43" s="15">
        <f t="shared" ca="1" si="7"/>
        <v>11</v>
      </c>
      <c r="L43" s="15">
        <f t="shared" ca="1" si="8"/>
        <v>1.0414633244849025</v>
      </c>
      <c r="M43" s="16">
        <f t="shared" ca="1" si="9"/>
        <v>1.0413926851582251</v>
      </c>
      <c r="N43" s="14" t="b">
        <f t="shared" ca="1" si="10"/>
        <v>1</v>
      </c>
      <c r="O43" s="14" t="b">
        <f t="shared" ca="1" si="11"/>
        <v>1</v>
      </c>
      <c r="Q43" s="9">
        <v>40</v>
      </c>
      <c r="R43" s="9">
        <f t="shared" si="12"/>
        <v>64000</v>
      </c>
      <c r="S43" s="15">
        <f t="shared" ca="1" si="13"/>
        <v>38</v>
      </c>
      <c r="T43" s="15">
        <f t="shared" ca="1" si="14"/>
        <v>54872</v>
      </c>
      <c r="U43" s="16">
        <f t="shared" ca="1" si="15"/>
        <v>54872</v>
      </c>
      <c r="V43" s="14" t="b">
        <f t="shared" ca="1" si="16"/>
        <v>1</v>
      </c>
      <c r="W43" s="14" t="b">
        <f t="shared" ca="1" si="17"/>
        <v>1</v>
      </c>
      <c r="Y43" s="9">
        <v>40</v>
      </c>
      <c r="Z43" s="9">
        <f t="shared" si="18"/>
        <v>2.3538526683702E+17</v>
      </c>
      <c r="AA43" s="15">
        <f t="shared" ca="1" si="19"/>
        <v>16</v>
      </c>
      <c r="AB43" s="15">
        <f t="shared" ca="1" si="20"/>
        <v>8886110.5205078721</v>
      </c>
      <c r="AC43" s="16">
        <f t="shared" ca="1" si="21"/>
        <v>8886110.5205078721</v>
      </c>
      <c r="AD43" s="14" t="b">
        <f t="shared" ca="1" si="22"/>
        <v>1</v>
      </c>
      <c r="AE43" s="14" t="b">
        <f t="shared" ca="1" si="23"/>
        <v>1</v>
      </c>
      <c r="AG43" s="9">
        <v>40</v>
      </c>
      <c r="AH43" s="9">
        <f t="shared" si="24"/>
        <v>-0.66693806165226188</v>
      </c>
      <c r="AI43" s="15">
        <f t="shared" ca="1" si="25"/>
        <v>21</v>
      </c>
      <c r="AJ43" s="15">
        <f t="shared" ca="1" si="26"/>
        <v>-0.40071278730076765</v>
      </c>
      <c r="AK43" s="16">
        <f t="shared" ca="1" si="27"/>
        <v>-0.54772926022426838</v>
      </c>
      <c r="AL43" s="14" t="b">
        <f t="shared" ca="1" si="28"/>
        <v>0</v>
      </c>
      <c r="AM43" s="14" t="b">
        <f t="shared" ca="1" si="29"/>
        <v>0</v>
      </c>
      <c r="AO43" s="9">
        <v>7</v>
      </c>
      <c r="AP43" s="9">
        <f t="shared" si="36"/>
        <v>-7.1414284285428504</v>
      </c>
      <c r="AQ43" s="15">
        <f t="shared" ca="1" si="37"/>
        <v>4</v>
      </c>
      <c r="AR43" s="15">
        <f t="shared" ca="1" si="38"/>
        <v>-9.1164930988617154</v>
      </c>
      <c r="AS43" s="16">
        <f t="shared" ca="1" si="39"/>
        <v>-9.1651513899116797</v>
      </c>
      <c r="AT43" s="14" t="b">
        <f t="shared" ca="1" si="34"/>
        <v>0</v>
      </c>
      <c r="AU43" s="14" t="b">
        <f t="shared" ca="1" si="35"/>
        <v>0</v>
      </c>
    </row>
    <row r="44" spans="1:47" x14ac:dyDescent="0.25">
      <c r="AO44" s="9">
        <v>9.5</v>
      </c>
      <c r="AP44" s="9">
        <f t="shared" si="36"/>
        <v>-3.1224989991991992</v>
      </c>
      <c r="AQ44" s="15">
        <f t="shared" ca="1" si="37"/>
        <v>5</v>
      </c>
      <c r="AR44" s="15">
        <f t="shared" ca="1" si="38"/>
        <v>-8.6602540378443873</v>
      </c>
      <c r="AS44" s="16">
        <f t="shared" ca="1" si="39"/>
        <v>-8.6602540378443873</v>
      </c>
      <c r="AT44" s="14" t="b">
        <f t="shared" ref="AT44:AT45" ca="1" si="40">ROUND(AR44,2)=ROUND(AS44,2)</f>
        <v>1</v>
      </c>
      <c r="AU44" s="14" t="b">
        <f t="shared" ref="AU44:AU45" ca="1" si="41">ROUND(AR44,3)=ROUND(AS44,3)</f>
        <v>1</v>
      </c>
    </row>
    <row r="45" spans="1:47" x14ac:dyDescent="0.25">
      <c r="AO45" s="9">
        <v>10</v>
      </c>
      <c r="AP45" s="9">
        <f t="shared" si="36"/>
        <v>0</v>
      </c>
      <c r="AQ45" s="15">
        <f t="shared" ca="1" si="37"/>
        <v>-8</v>
      </c>
      <c r="AR45" s="15">
        <f t="shared" ca="1" si="38"/>
        <v>-5.7597378572656606</v>
      </c>
      <c r="AS45" s="16">
        <f t="shared" ca="1" si="39"/>
        <v>-6</v>
      </c>
      <c r="AT45" s="14" t="b">
        <f t="shared" ca="1" si="40"/>
        <v>0</v>
      </c>
      <c r="AU45" s="14" t="b">
        <f t="shared" ca="1" si="41"/>
        <v>0</v>
      </c>
    </row>
  </sheetData>
  <mergeCells count="6">
    <mergeCell ref="AT22:AU22"/>
    <mergeCell ref="F22:G22"/>
    <mergeCell ref="N22:O22"/>
    <mergeCell ref="V22:W22"/>
    <mergeCell ref="AD22:AE22"/>
    <mergeCell ref="AL22:AM22"/>
  </mergeCells>
  <conditionalFormatting sqref="G24:G43">
    <cfRule type="containsText" dxfId="23" priority="23" operator="containsText" text="FALSE">
      <formula>NOT(ISERROR(SEARCH("FALSE",G24)))</formula>
    </cfRule>
    <cfRule type="containsText" dxfId="22" priority="24" operator="containsText" text="TRUE">
      <formula>NOT(ISERROR(SEARCH("TRUE",G24)))</formula>
    </cfRule>
  </conditionalFormatting>
  <conditionalFormatting sqref="F24:F43">
    <cfRule type="containsText" dxfId="21" priority="21" operator="containsText" text="FALSE">
      <formula>NOT(ISERROR(SEARCH("FALSE",F24)))</formula>
    </cfRule>
    <cfRule type="containsText" dxfId="20" priority="22" operator="containsText" text="TRUE">
      <formula>NOT(ISERROR(SEARCH("TRUE",F24)))</formula>
    </cfRule>
  </conditionalFormatting>
  <conditionalFormatting sqref="O24:O43">
    <cfRule type="containsText" dxfId="19" priority="19" operator="containsText" text="FALSE">
      <formula>NOT(ISERROR(SEARCH("FALSE",O24)))</formula>
    </cfRule>
    <cfRule type="containsText" dxfId="18" priority="20" operator="containsText" text="TRUE">
      <formula>NOT(ISERROR(SEARCH("TRUE",O24)))</formula>
    </cfRule>
  </conditionalFormatting>
  <conditionalFormatting sqref="N24:N43">
    <cfRule type="containsText" dxfId="17" priority="17" operator="containsText" text="FALSE">
      <formula>NOT(ISERROR(SEARCH("FALSE",N24)))</formula>
    </cfRule>
    <cfRule type="containsText" dxfId="16" priority="18" operator="containsText" text="TRUE">
      <formula>NOT(ISERROR(SEARCH("TRUE",N24)))</formula>
    </cfRule>
  </conditionalFormatting>
  <conditionalFormatting sqref="W24:W43">
    <cfRule type="containsText" dxfId="15" priority="15" operator="containsText" text="FALSE">
      <formula>NOT(ISERROR(SEARCH("FALSE",W24)))</formula>
    </cfRule>
    <cfRule type="containsText" dxfId="14" priority="16" operator="containsText" text="TRUE">
      <formula>NOT(ISERROR(SEARCH("TRUE",W24)))</formula>
    </cfRule>
  </conditionalFormatting>
  <conditionalFormatting sqref="V24:V43">
    <cfRule type="containsText" dxfId="13" priority="13" operator="containsText" text="FALSE">
      <formula>NOT(ISERROR(SEARCH("FALSE",V24)))</formula>
    </cfRule>
    <cfRule type="containsText" dxfId="12" priority="14" operator="containsText" text="TRUE">
      <formula>NOT(ISERROR(SEARCH("TRUE",V24)))</formula>
    </cfRule>
  </conditionalFormatting>
  <conditionalFormatting sqref="AE24:AE43">
    <cfRule type="containsText" dxfId="11" priority="11" operator="containsText" text="FALSE">
      <formula>NOT(ISERROR(SEARCH("FALSE",AE24)))</formula>
    </cfRule>
    <cfRule type="containsText" dxfId="10" priority="12" operator="containsText" text="TRUE">
      <formula>NOT(ISERROR(SEARCH("TRUE",AE24)))</formula>
    </cfRule>
  </conditionalFormatting>
  <conditionalFormatting sqref="AD24:AD43">
    <cfRule type="containsText" dxfId="9" priority="9" operator="containsText" text="FALSE">
      <formula>NOT(ISERROR(SEARCH("FALSE",AD24)))</formula>
    </cfRule>
    <cfRule type="containsText" dxfId="8" priority="10" operator="containsText" text="TRUE">
      <formula>NOT(ISERROR(SEARCH("TRUE",AD24)))</formula>
    </cfRule>
  </conditionalFormatting>
  <conditionalFormatting sqref="AM24:AM43">
    <cfRule type="containsText" dxfId="7" priority="7" operator="containsText" text="FALSE">
      <formula>NOT(ISERROR(SEARCH("FALSE",AM24)))</formula>
    </cfRule>
    <cfRule type="containsText" dxfId="6" priority="8" operator="containsText" text="TRUE">
      <formula>NOT(ISERROR(SEARCH("TRUE",AM24)))</formula>
    </cfRule>
  </conditionalFormatting>
  <conditionalFormatting sqref="AL24:AL43">
    <cfRule type="containsText" dxfId="5" priority="5" operator="containsText" text="FALSE">
      <formula>NOT(ISERROR(SEARCH("FALSE",AL24)))</formula>
    </cfRule>
    <cfRule type="containsText" dxfId="4" priority="6" operator="containsText" text="TRUE">
      <formula>NOT(ISERROR(SEARCH("TRUE",AL24)))</formula>
    </cfRule>
  </conditionalFormatting>
  <conditionalFormatting sqref="AU24:AU45">
    <cfRule type="containsText" dxfId="3" priority="3" operator="containsText" text="FALSE">
      <formula>NOT(ISERROR(SEARCH("FALSE",AU24)))</formula>
    </cfRule>
    <cfRule type="containsText" dxfId="2" priority="4" operator="containsText" text="TRUE">
      <formula>NOT(ISERROR(SEARCH("TRUE",AU24)))</formula>
    </cfRule>
  </conditionalFormatting>
  <conditionalFormatting sqref="AT24:AT45">
    <cfRule type="containsText" dxfId="1" priority="1" operator="containsText" text="FALSE">
      <formula>NOT(ISERROR(SEARCH("FALSE",AT24)))</formula>
    </cfRule>
    <cfRule type="containsText" dxfId="0" priority="2" operator="containsText" text="TRUE">
      <formula>NOT(ISERROR(SEARCH("TRUE",AT24)))</formula>
    </cfRule>
  </conditionalFormatting>
  <hyperlinks>
    <hyperlink ref="B3" location="BookmarkLogX" tooltip="Go to Log X" display="LogX"/>
    <hyperlink ref="C3" location="BookmarkX3" tooltip="Go to X^3" display="X3"/>
    <hyperlink ref="D3" location="BookmarkExpX" tooltip="Go to Exp X" display="ExpX"/>
    <hyperlink ref="E3" location="BookmarkCosX" tooltip="Go to Cos X" display="Cos X"/>
    <hyperlink ref="AM3" location="BookmarkBack" tooltip="Click to scroll left" display="Back"/>
    <hyperlink ref="AE3" location="BookmarkBack" tooltip="Click to scroll left" display="Back"/>
    <hyperlink ref="W3" location="BookmarkBack" tooltip="Click to scroll left" display="Back"/>
    <hyperlink ref="O3" location="BookmarkBack" tooltip="Click to scroll left" display="Back"/>
    <hyperlink ref="AU3" location="BookmarkBack" tooltip="Click to scroll left" display="Back"/>
    <hyperlink ref="F3" location="BookmarkCircle" tooltip="Go to Cartesian Circle" display="Y2 = r2 - X2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Bezier interpolation</vt:lpstr>
      <vt:lpstr>Optional argument</vt:lpstr>
      <vt:lpstr>Linear interpolation</vt:lpstr>
      <vt:lpstr>Testing</vt:lpstr>
      <vt:lpstr>BookmarkBack</vt:lpstr>
      <vt:lpstr>BookmarkCircle</vt:lpstr>
      <vt:lpstr>BookmarkCosX</vt:lpstr>
      <vt:lpstr>BookmarkExpX</vt:lpstr>
      <vt:lpstr>BookmarkLogX</vt:lpstr>
      <vt:lpstr>BookmarkX3</vt:lpstr>
      <vt:lpstr>KnownXs</vt:lpstr>
      <vt:lpstr>KnownYs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Alice Lépissier</dc:creator>
  <cp:lastModifiedBy>Alice Lépissier</cp:lastModifiedBy>
  <dcterms:created xsi:type="dcterms:W3CDTF">2014-10-18T03:03:21Z</dcterms:created>
  <dcterms:modified xsi:type="dcterms:W3CDTF">2014-10-20T14:10:27Z</dcterms:modified>
</cp:coreProperties>
</file>